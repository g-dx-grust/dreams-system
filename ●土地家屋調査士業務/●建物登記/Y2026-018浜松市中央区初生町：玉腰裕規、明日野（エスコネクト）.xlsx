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192.168.1.230\share\02経理\01一般経理\土地家屋調査士山本真基事務所\2026-R08\"/>
    </mc:Choice>
  </mc:AlternateContent>
  <xr:revisionPtr revIDLastSave="0" documentId="13_ncr:1_{48933891-3177-4538-9B4F-D84221E8D55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入力" sheetId="7" r:id="rId1"/>
    <sheet name="見積書" sheetId="9" r:id="rId2"/>
    <sheet name="請求書" sheetId="15" r:id="rId3"/>
    <sheet name="領収書" sheetId="16" r:id="rId4"/>
    <sheet name="請求書・領収書(控)" sheetId="17" r:id="rId5"/>
  </sheets>
  <definedNames>
    <definedName name="_xlnm.Print_Area" localSheetId="1">見積書!$A$1:$I$65</definedName>
    <definedName name="_xlnm.Print_Area" localSheetId="2">請求書!$A$1:$I$66</definedName>
    <definedName name="_xlnm.Print_Area" localSheetId="4">'請求書・領収書(控)'!$A$1:$I$66</definedName>
    <definedName name="_xlnm.Print_Area" localSheetId="0">入力!$A$1:$I$65</definedName>
    <definedName name="_xlnm.Print_Area" localSheetId="3">領収書!$A$1:$I$66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6" i="16" l="1"/>
  <c r="G7" i="16"/>
  <c r="C65" i="15"/>
  <c r="G7" i="15"/>
  <c r="I5" i="15"/>
  <c r="I4" i="15"/>
  <c r="I3" i="15"/>
  <c r="G11" i="17"/>
  <c r="G11" i="16"/>
  <c r="G11" i="9"/>
  <c r="G11" i="15"/>
  <c r="G7" i="17"/>
  <c r="G5" i="17"/>
  <c r="A9" i="17"/>
  <c r="A7" i="17"/>
  <c r="A9" i="16"/>
  <c r="A7" i="16"/>
  <c r="A9" i="9"/>
  <c r="G7" i="9"/>
  <c r="A7" i="9"/>
  <c r="A7" i="15"/>
  <c r="A9" i="15"/>
  <c r="E65" i="9"/>
  <c r="E65" i="16"/>
  <c r="E65" i="15"/>
  <c r="E65" i="17"/>
  <c r="H58" i="7"/>
  <c r="H57" i="15" s="1"/>
  <c r="E12" i="15"/>
  <c r="E13" i="15"/>
  <c r="E15" i="15"/>
  <c r="F15" i="15"/>
  <c r="G15" i="15"/>
  <c r="I15" i="15"/>
  <c r="E16" i="15"/>
  <c r="F16" i="15"/>
  <c r="G16" i="15"/>
  <c r="I16" i="15"/>
  <c r="E17" i="15"/>
  <c r="F17" i="15"/>
  <c r="G17" i="15"/>
  <c r="I17" i="15"/>
  <c r="E18" i="15"/>
  <c r="F18" i="15"/>
  <c r="G18" i="15"/>
  <c r="I18" i="15"/>
  <c r="E19" i="15"/>
  <c r="F19" i="15"/>
  <c r="G19" i="15"/>
  <c r="I19" i="15"/>
  <c r="E20" i="15"/>
  <c r="F20" i="15"/>
  <c r="G20" i="15"/>
  <c r="I20" i="15"/>
  <c r="E21" i="15"/>
  <c r="G21" i="15"/>
  <c r="I21" i="15"/>
  <c r="I22" i="15"/>
  <c r="B23" i="15"/>
  <c r="E23" i="15"/>
  <c r="G23" i="15"/>
  <c r="I23" i="15"/>
  <c r="B24" i="15"/>
  <c r="E24" i="15"/>
  <c r="G24" i="15"/>
  <c r="I24" i="15"/>
  <c r="B25" i="15"/>
  <c r="E25" i="15"/>
  <c r="G25" i="15"/>
  <c r="I25" i="15"/>
  <c r="B26" i="15"/>
  <c r="E26" i="15"/>
  <c r="G26" i="15"/>
  <c r="I26" i="15"/>
  <c r="I27" i="15"/>
  <c r="B28" i="15"/>
  <c r="E28" i="15"/>
  <c r="F28" i="15"/>
  <c r="G28" i="15"/>
  <c r="I28" i="15"/>
  <c r="E29" i="15"/>
  <c r="F29" i="15"/>
  <c r="I29" i="15"/>
  <c r="E30" i="15"/>
  <c r="F30" i="15"/>
  <c r="I30" i="15"/>
  <c r="B31" i="15"/>
  <c r="E31" i="15"/>
  <c r="F31" i="15"/>
  <c r="G31" i="15"/>
  <c r="I31" i="15"/>
  <c r="E32" i="15"/>
  <c r="F32" i="15"/>
  <c r="I32" i="15"/>
  <c r="E33" i="15"/>
  <c r="F33" i="15"/>
  <c r="I33" i="15"/>
  <c r="B34" i="15"/>
  <c r="E34" i="15"/>
  <c r="F34" i="15"/>
  <c r="G34" i="15"/>
  <c r="I34" i="15"/>
  <c r="E35" i="15"/>
  <c r="F35" i="15"/>
  <c r="I35" i="15"/>
  <c r="B36" i="15"/>
  <c r="E36" i="15"/>
  <c r="F36" i="15"/>
  <c r="G36" i="15"/>
  <c r="I36" i="15"/>
  <c r="E37" i="15"/>
  <c r="F37" i="15"/>
  <c r="I37" i="15"/>
  <c r="B38" i="15"/>
  <c r="E38" i="15"/>
  <c r="F38" i="15"/>
  <c r="G38" i="15"/>
  <c r="I38" i="15"/>
  <c r="E39" i="15"/>
  <c r="F39" i="15"/>
  <c r="I39" i="15"/>
  <c r="E40" i="15"/>
  <c r="F40" i="15"/>
  <c r="I40" i="15"/>
  <c r="E41" i="15"/>
  <c r="F41" i="15"/>
  <c r="I41" i="15"/>
  <c r="E42" i="15"/>
  <c r="F42" i="15"/>
  <c r="I42" i="15"/>
  <c r="B43" i="15"/>
  <c r="E43" i="15"/>
  <c r="F43" i="15"/>
  <c r="G43" i="15"/>
  <c r="I43" i="15"/>
  <c r="I44" i="15"/>
  <c r="E45" i="15"/>
  <c r="G45" i="15"/>
  <c r="I45" i="15"/>
  <c r="E46" i="15"/>
  <c r="G46" i="15"/>
  <c r="I46" i="15"/>
  <c r="E47" i="15"/>
  <c r="G47" i="15"/>
  <c r="I47" i="15"/>
  <c r="E48" i="15"/>
  <c r="G48" i="15"/>
  <c r="I48" i="15"/>
  <c r="E49" i="15"/>
  <c r="G49" i="15"/>
  <c r="I49" i="15"/>
  <c r="I50" i="15"/>
  <c r="E51" i="15"/>
  <c r="F51" i="15"/>
  <c r="I51" i="15"/>
  <c r="I52" i="15"/>
  <c r="H53" i="15"/>
  <c r="I53" i="15"/>
  <c r="I54" i="15"/>
  <c r="I55" i="15"/>
  <c r="I56" i="15"/>
  <c r="I57" i="15"/>
  <c r="I58" i="15"/>
  <c r="H59" i="15"/>
  <c r="I59" i="15"/>
  <c r="H60" i="15"/>
  <c r="I60" i="15"/>
  <c r="I61" i="15"/>
  <c r="I62" i="15"/>
  <c r="H63" i="15"/>
  <c r="I63" i="15"/>
  <c r="I64" i="15"/>
  <c r="E12" i="9"/>
  <c r="E13" i="9"/>
  <c r="E15" i="9"/>
  <c r="F15" i="9"/>
  <c r="G15" i="9"/>
  <c r="I15" i="9"/>
  <c r="E16" i="9"/>
  <c r="F16" i="9"/>
  <c r="G16" i="9"/>
  <c r="I16" i="9"/>
  <c r="E17" i="9"/>
  <c r="F17" i="9"/>
  <c r="G17" i="9"/>
  <c r="I17" i="9"/>
  <c r="E18" i="9"/>
  <c r="F18" i="9"/>
  <c r="G18" i="9"/>
  <c r="I18" i="9"/>
  <c r="E19" i="9"/>
  <c r="F19" i="9"/>
  <c r="G19" i="9"/>
  <c r="I19" i="9"/>
  <c r="E20" i="9"/>
  <c r="F20" i="9"/>
  <c r="G20" i="9"/>
  <c r="I20" i="9"/>
  <c r="E21" i="9"/>
  <c r="G21" i="9"/>
  <c r="I21" i="9"/>
  <c r="I22" i="9"/>
  <c r="B23" i="9"/>
  <c r="E23" i="9"/>
  <c r="G23" i="9"/>
  <c r="I23" i="9"/>
  <c r="B24" i="9"/>
  <c r="E24" i="9"/>
  <c r="G24" i="9"/>
  <c r="I24" i="9"/>
  <c r="B25" i="9"/>
  <c r="E25" i="9"/>
  <c r="G25" i="9"/>
  <c r="I25" i="9"/>
  <c r="B26" i="9"/>
  <c r="E26" i="9"/>
  <c r="G26" i="9"/>
  <c r="I26" i="9"/>
  <c r="I27" i="9"/>
  <c r="B28" i="9"/>
  <c r="E28" i="9"/>
  <c r="F28" i="9"/>
  <c r="G28" i="9"/>
  <c r="I28" i="9"/>
  <c r="E29" i="9"/>
  <c r="F29" i="9"/>
  <c r="I29" i="9"/>
  <c r="E30" i="9"/>
  <c r="F30" i="9"/>
  <c r="I30" i="9"/>
  <c r="B31" i="9"/>
  <c r="E31" i="9"/>
  <c r="F31" i="9"/>
  <c r="G31" i="9"/>
  <c r="I31" i="9"/>
  <c r="E32" i="9"/>
  <c r="F32" i="9"/>
  <c r="I32" i="9"/>
  <c r="E33" i="9"/>
  <c r="F33" i="9"/>
  <c r="I33" i="9"/>
  <c r="B34" i="9"/>
  <c r="E34" i="9"/>
  <c r="F34" i="9"/>
  <c r="G34" i="9"/>
  <c r="I34" i="9"/>
  <c r="E35" i="9"/>
  <c r="F35" i="9"/>
  <c r="I35" i="9"/>
  <c r="B36" i="9"/>
  <c r="E36" i="9"/>
  <c r="F36" i="9"/>
  <c r="G36" i="9"/>
  <c r="I36" i="9"/>
  <c r="E37" i="9"/>
  <c r="F37" i="9"/>
  <c r="I37" i="9"/>
  <c r="B38" i="9"/>
  <c r="E38" i="9"/>
  <c r="F38" i="9"/>
  <c r="G38" i="9"/>
  <c r="I38" i="9"/>
  <c r="E39" i="9"/>
  <c r="F39" i="9"/>
  <c r="I39" i="9"/>
  <c r="E40" i="9"/>
  <c r="F40" i="9"/>
  <c r="I40" i="9"/>
  <c r="E41" i="9"/>
  <c r="F41" i="9"/>
  <c r="I41" i="9"/>
  <c r="E42" i="9"/>
  <c r="F42" i="9"/>
  <c r="I42" i="9"/>
  <c r="B43" i="9"/>
  <c r="E43" i="9"/>
  <c r="F43" i="9"/>
  <c r="G43" i="9"/>
  <c r="I43" i="9"/>
  <c r="I44" i="9"/>
  <c r="E45" i="9"/>
  <c r="G45" i="9"/>
  <c r="I45" i="9"/>
  <c r="E46" i="9"/>
  <c r="G46" i="9"/>
  <c r="I46" i="9"/>
  <c r="E47" i="9"/>
  <c r="G47" i="9"/>
  <c r="I47" i="9"/>
  <c r="E48" i="9"/>
  <c r="G48" i="9"/>
  <c r="I48" i="9"/>
  <c r="E49" i="9"/>
  <c r="G49" i="9"/>
  <c r="I49" i="9"/>
  <c r="I50" i="9"/>
  <c r="E51" i="9"/>
  <c r="F51" i="9"/>
  <c r="I51" i="9"/>
  <c r="I52" i="9"/>
  <c r="H53" i="9"/>
  <c r="I53" i="9"/>
  <c r="I54" i="9"/>
  <c r="I55" i="9"/>
  <c r="I56" i="9"/>
  <c r="I57" i="9"/>
  <c r="I58" i="9"/>
  <c r="H59" i="9"/>
  <c r="I59" i="9"/>
  <c r="H60" i="9"/>
  <c r="I60" i="9"/>
  <c r="I61" i="9"/>
  <c r="I62" i="9"/>
  <c r="H63" i="9"/>
  <c r="I63" i="9"/>
  <c r="I64" i="9"/>
  <c r="E12" i="17"/>
  <c r="E13" i="17"/>
  <c r="E15" i="17"/>
  <c r="F15" i="17"/>
  <c r="G15" i="17"/>
  <c r="I15" i="17"/>
  <c r="E16" i="17"/>
  <c r="F16" i="17"/>
  <c r="G16" i="17"/>
  <c r="I16" i="17"/>
  <c r="E17" i="17"/>
  <c r="F17" i="17"/>
  <c r="G17" i="17"/>
  <c r="I17" i="17"/>
  <c r="E18" i="17"/>
  <c r="F18" i="17"/>
  <c r="G18" i="17"/>
  <c r="I18" i="17"/>
  <c r="E19" i="17"/>
  <c r="F19" i="17"/>
  <c r="G19" i="17"/>
  <c r="I19" i="17"/>
  <c r="E20" i="17"/>
  <c r="F20" i="17"/>
  <c r="G20" i="17"/>
  <c r="I20" i="17"/>
  <c r="E21" i="17"/>
  <c r="G21" i="17"/>
  <c r="I21" i="17"/>
  <c r="I22" i="17"/>
  <c r="B23" i="17"/>
  <c r="E23" i="17"/>
  <c r="G23" i="17"/>
  <c r="I23" i="17"/>
  <c r="B24" i="17"/>
  <c r="E24" i="17"/>
  <c r="G24" i="17"/>
  <c r="I24" i="17"/>
  <c r="B25" i="17"/>
  <c r="E25" i="17"/>
  <c r="G25" i="17"/>
  <c r="I25" i="17"/>
  <c r="B26" i="17"/>
  <c r="E26" i="17"/>
  <c r="G26" i="17"/>
  <c r="I26" i="17"/>
  <c r="I27" i="17"/>
  <c r="B28" i="17"/>
  <c r="E28" i="17"/>
  <c r="F28" i="17"/>
  <c r="G28" i="17"/>
  <c r="I28" i="17"/>
  <c r="E29" i="17"/>
  <c r="F29" i="17"/>
  <c r="I29" i="17"/>
  <c r="E30" i="17"/>
  <c r="F30" i="17"/>
  <c r="I30" i="17"/>
  <c r="B31" i="17"/>
  <c r="E31" i="17"/>
  <c r="F31" i="17"/>
  <c r="G31" i="17"/>
  <c r="I31" i="17"/>
  <c r="E32" i="17"/>
  <c r="F32" i="17"/>
  <c r="I32" i="17"/>
  <c r="E33" i="17"/>
  <c r="F33" i="17"/>
  <c r="I33" i="17"/>
  <c r="B34" i="17"/>
  <c r="E34" i="17"/>
  <c r="F34" i="17"/>
  <c r="G34" i="17"/>
  <c r="I34" i="17"/>
  <c r="E35" i="17"/>
  <c r="F35" i="17"/>
  <c r="I35" i="17"/>
  <c r="B36" i="17"/>
  <c r="E36" i="17"/>
  <c r="F36" i="17"/>
  <c r="G36" i="17"/>
  <c r="I36" i="17"/>
  <c r="E37" i="17"/>
  <c r="F37" i="17"/>
  <c r="I37" i="17"/>
  <c r="B38" i="17"/>
  <c r="E38" i="17"/>
  <c r="F38" i="17"/>
  <c r="G38" i="17"/>
  <c r="I38" i="17"/>
  <c r="E39" i="17"/>
  <c r="F39" i="17"/>
  <c r="I39" i="17"/>
  <c r="E40" i="17"/>
  <c r="F40" i="17"/>
  <c r="I40" i="17"/>
  <c r="E41" i="17"/>
  <c r="F41" i="17"/>
  <c r="I41" i="17"/>
  <c r="E42" i="17"/>
  <c r="F42" i="17"/>
  <c r="I42" i="17"/>
  <c r="B43" i="17"/>
  <c r="E43" i="17"/>
  <c r="F43" i="17"/>
  <c r="G43" i="17"/>
  <c r="I43" i="17"/>
  <c r="I44" i="17"/>
  <c r="E45" i="17"/>
  <c r="G45" i="17"/>
  <c r="I45" i="17"/>
  <c r="E46" i="17"/>
  <c r="G46" i="17"/>
  <c r="I46" i="17"/>
  <c r="E47" i="17"/>
  <c r="G47" i="17"/>
  <c r="I47" i="17"/>
  <c r="E48" i="17"/>
  <c r="G48" i="17"/>
  <c r="I48" i="17"/>
  <c r="E49" i="17"/>
  <c r="G49" i="17"/>
  <c r="I49" i="17"/>
  <c r="I50" i="17"/>
  <c r="E51" i="17"/>
  <c r="F51" i="17"/>
  <c r="I51" i="17"/>
  <c r="I52" i="17"/>
  <c r="H53" i="17"/>
  <c r="I53" i="17"/>
  <c r="I54" i="17"/>
  <c r="I55" i="17"/>
  <c r="I56" i="17"/>
  <c r="I57" i="17"/>
  <c r="I58" i="17"/>
  <c r="H59" i="17"/>
  <c r="I59" i="17"/>
  <c r="H60" i="17"/>
  <c r="I60" i="17"/>
  <c r="I61" i="17"/>
  <c r="I62" i="17"/>
  <c r="H63" i="17"/>
  <c r="I63" i="17"/>
  <c r="I64" i="17"/>
  <c r="C65" i="17"/>
  <c r="H16" i="7"/>
  <c r="H15" i="15" s="1"/>
  <c r="H17" i="7"/>
  <c r="H16" i="15" s="1"/>
  <c r="H18" i="7"/>
  <c r="H17" i="15" s="1"/>
  <c r="H19" i="7"/>
  <c r="H18" i="9" s="1"/>
  <c r="H20" i="7"/>
  <c r="H19" i="15" s="1"/>
  <c r="H21" i="7"/>
  <c r="H20" i="16" s="1"/>
  <c r="H22" i="7"/>
  <c r="H21" i="17" s="1"/>
  <c r="F24" i="7"/>
  <c r="F23" i="9" s="1"/>
  <c r="F25" i="7"/>
  <c r="F24" i="17" s="1"/>
  <c r="H25" i="7"/>
  <c r="H24" i="9" s="1"/>
  <c r="F26" i="7"/>
  <c r="F25" i="9" s="1"/>
  <c r="H26" i="7"/>
  <c r="H25" i="16" s="1"/>
  <c r="F27" i="7"/>
  <c r="F26" i="17" s="1"/>
  <c r="H27" i="7"/>
  <c r="H26" i="9" s="1"/>
  <c r="H29" i="7"/>
  <c r="H28" i="9" s="1"/>
  <c r="H32" i="7"/>
  <c r="H31" i="9" s="1"/>
  <c r="H35" i="7"/>
  <c r="H34" i="9" s="1"/>
  <c r="M36" i="7"/>
  <c r="H37" i="7"/>
  <c r="H36" i="16" s="1"/>
  <c r="H39" i="7"/>
  <c r="H38" i="15" s="1"/>
  <c r="H44" i="7"/>
  <c r="H43" i="9" s="1"/>
  <c r="B46" i="7"/>
  <c r="B45" i="9" s="1"/>
  <c r="F46" i="7"/>
  <c r="F45" i="9" s="1"/>
  <c r="H46" i="7"/>
  <c r="H45" i="17" s="1"/>
  <c r="B47" i="7"/>
  <c r="B46" i="9" s="1"/>
  <c r="F47" i="7"/>
  <c r="F46" i="9" s="1"/>
  <c r="B48" i="7"/>
  <c r="B47" i="9" s="1"/>
  <c r="F48" i="7"/>
  <c r="F47" i="9" s="1"/>
  <c r="B49" i="7"/>
  <c r="B48" i="17" s="1"/>
  <c r="F49" i="7"/>
  <c r="F48" i="17" s="1"/>
  <c r="B50" i="7"/>
  <c r="B49" i="9" s="1"/>
  <c r="F50" i="7"/>
  <c r="F49" i="17" s="1"/>
  <c r="F49" i="9"/>
  <c r="H50" i="7"/>
  <c r="H49" i="9" s="1"/>
  <c r="H52" i="7"/>
  <c r="H51" i="9" s="1"/>
  <c r="D58" i="7"/>
  <c r="D57" i="9" s="1"/>
  <c r="H62" i="7"/>
  <c r="H61" i="9" s="1"/>
  <c r="E12" i="16"/>
  <c r="E13" i="16"/>
  <c r="E15" i="16"/>
  <c r="F15" i="16"/>
  <c r="G15" i="16"/>
  <c r="I15" i="16"/>
  <c r="E16" i="16"/>
  <c r="F16" i="16"/>
  <c r="G16" i="16"/>
  <c r="I16" i="16"/>
  <c r="E17" i="16"/>
  <c r="F17" i="16"/>
  <c r="G17" i="16"/>
  <c r="I17" i="16"/>
  <c r="E18" i="16"/>
  <c r="F18" i="16"/>
  <c r="G18" i="16"/>
  <c r="I18" i="16"/>
  <c r="E19" i="16"/>
  <c r="F19" i="16"/>
  <c r="G19" i="16"/>
  <c r="I19" i="16"/>
  <c r="E20" i="16"/>
  <c r="F20" i="16"/>
  <c r="G20" i="16"/>
  <c r="I20" i="16"/>
  <c r="E21" i="16"/>
  <c r="G21" i="16"/>
  <c r="I21" i="16"/>
  <c r="I22" i="16"/>
  <c r="B23" i="16"/>
  <c r="E23" i="16"/>
  <c r="G23" i="16"/>
  <c r="I23" i="16"/>
  <c r="B24" i="16"/>
  <c r="E24" i="16"/>
  <c r="G24" i="16"/>
  <c r="H24" i="16"/>
  <c r="I24" i="16"/>
  <c r="B25" i="16"/>
  <c r="E25" i="16"/>
  <c r="G25" i="16"/>
  <c r="I25" i="16"/>
  <c r="B26" i="16"/>
  <c r="E26" i="16"/>
  <c r="G26" i="16"/>
  <c r="I26" i="16"/>
  <c r="I27" i="16"/>
  <c r="B28" i="16"/>
  <c r="E28" i="16"/>
  <c r="F28" i="16"/>
  <c r="G28" i="16"/>
  <c r="I28" i="16"/>
  <c r="E29" i="16"/>
  <c r="F29" i="16"/>
  <c r="I29" i="16"/>
  <c r="E30" i="16"/>
  <c r="F30" i="16"/>
  <c r="I30" i="16"/>
  <c r="B31" i="16"/>
  <c r="E31" i="16"/>
  <c r="F31" i="16"/>
  <c r="G31" i="16"/>
  <c r="I31" i="16"/>
  <c r="E32" i="16"/>
  <c r="F32" i="16"/>
  <c r="I32" i="16"/>
  <c r="E33" i="16"/>
  <c r="F33" i="16"/>
  <c r="I33" i="16"/>
  <c r="B34" i="16"/>
  <c r="E34" i="16"/>
  <c r="F34" i="16"/>
  <c r="G34" i="16"/>
  <c r="I34" i="16"/>
  <c r="E35" i="16"/>
  <c r="F35" i="16"/>
  <c r="I35" i="16"/>
  <c r="B36" i="16"/>
  <c r="E36" i="16"/>
  <c r="F36" i="16"/>
  <c r="G36" i="16"/>
  <c r="I36" i="16"/>
  <c r="E37" i="16"/>
  <c r="F37" i="16"/>
  <c r="I37" i="16"/>
  <c r="B38" i="16"/>
  <c r="E38" i="16"/>
  <c r="F38" i="16"/>
  <c r="G38" i="16"/>
  <c r="I38" i="16"/>
  <c r="E39" i="16"/>
  <c r="F39" i="16"/>
  <c r="I39" i="16"/>
  <c r="E40" i="16"/>
  <c r="F40" i="16"/>
  <c r="I40" i="16"/>
  <c r="E41" i="16"/>
  <c r="F41" i="16"/>
  <c r="I41" i="16"/>
  <c r="E42" i="16"/>
  <c r="F42" i="16"/>
  <c r="I42" i="16"/>
  <c r="B43" i="16"/>
  <c r="E43" i="16"/>
  <c r="F43" i="16"/>
  <c r="G43" i="16"/>
  <c r="I43" i="16"/>
  <c r="I44" i="16"/>
  <c r="E45" i="16"/>
  <c r="G45" i="16"/>
  <c r="I45" i="16"/>
  <c r="E46" i="16"/>
  <c r="G46" i="16"/>
  <c r="I46" i="16"/>
  <c r="E47" i="16"/>
  <c r="G47" i="16"/>
  <c r="I47" i="16"/>
  <c r="E48" i="16"/>
  <c r="G48" i="16"/>
  <c r="I48" i="16"/>
  <c r="E49" i="16"/>
  <c r="G49" i="16"/>
  <c r="I49" i="16"/>
  <c r="I50" i="16"/>
  <c r="E51" i="16"/>
  <c r="F51" i="16"/>
  <c r="I51" i="16"/>
  <c r="I52" i="16"/>
  <c r="H53" i="16"/>
  <c r="I53" i="16"/>
  <c r="I54" i="16"/>
  <c r="I55" i="16"/>
  <c r="I56" i="16"/>
  <c r="I57" i="16"/>
  <c r="I58" i="16"/>
  <c r="H59" i="16"/>
  <c r="I59" i="16"/>
  <c r="H60" i="16"/>
  <c r="I60" i="16"/>
  <c r="I61" i="16"/>
  <c r="I62" i="16"/>
  <c r="H63" i="16"/>
  <c r="I63" i="16"/>
  <c r="I64" i="16"/>
  <c r="C65" i="16"/>
  <c r="H31" i="17"/>
  <c r="H31" i="15"/>
  <c r="F49" i="15" l="1"/>
  <c r="H17" i="16"/>
  <c r="H36" i="15"/>
  <c r="F25" i="15"/>
  <c r="H24" i="15"/>
  <c r="H26" i="17"/>
  <c r="H26" i="16"/>
  <c r="H26" i="15"/>
  <c r="H24" i="17"/>
  <c r="H25" i="9"/>
  <c r="B45" i="16"/>
  <c r="F49" i="16"/>
  <c r="F46" i="15"/>
  <c r="B45" i="17"/>
  <c r="F46" i="17"/>
  <c r="H31" i="16"/>
  <c r="B45" i="15"/>
  <c r="H61" i="17"/>
  <c r="H47" i="7"/>
  <c r="H46" i="16" s="1"/>
  <c r="H20" i="17"/>
  <c r="H61" i="16"/>
  <c r="H18" i="16"/>
  <c r="H25" i="17"/>
  <c r="H17" i="17"/>
  <c r="H34" i="16"/>
  <c r="H49" i="7"/>
  <c r="H48" i="9" s="1"/>
  <c r="H18" i="17"/>
  <c r="H34" i="17"/>
  <c r="H36" i="17"/>
  <c r="H18" i="15"/>
  <c r="H61" i="15"/>
  <c r="H48" i="7"/>
  <c r="H47" i="9" s="1"/>
  <c r="F48" i="16"/>
  <c r="B46" i="16"/>
  <c r="B46" i="15"/>
  <c r="B46" i="17"/>
  <c r="H24" i="7"/>
  <c r="H16" i="16"/>
  <c r="H16" i="9"/>
  <c r="H16" i="17"/>
  <c r="H38" i="16"/>
  <c r="B48" i="15"/>
  <c r="H38" i="17"/>
  <c r="H38" i="9"/>
  <c r="H21" i="9"/>
  <c r="B47" i="15"/>
  <c r="H25" i="15"/>
  <c r="B47" i="17"/>
  <c r="H21" i="15"/>
  <c r="H28" i="17"/>
  <c r="B48" i="9"/>
  <c r="H15" i="9"/>
  <c r="H21" i="16"/>
  <c r="H36" i="9"/>
  <c r="H43" i="16"/>
  <c r="B47" i="16"/>
  <c r="H15" i="16"/>
  <c r="H15" i="17"/>
  <c r="H51" i="17"/>
  <c r="H51" i="15"/>
  <c r="H51" i="16"/>
  <c r="F47" i="17"/>
  <c r="B49" i="15"/>
  <c r="H45" i="16"/>
  <c r="B49" i="16"/>
  <c r="F48" i="9"/>
  <c r="F47" i="15"/>
  <c r="B49" i="17"/>
  <c r="H45" i="9"/>
  <c r="H57" i="9"/>
  <c r="H45" i="7"/>
  <c r="D57" i="15"/>
  <c r="F26" i="9"/>
  <c r="F24" i="9"/>
  <c r="H43" i="15"/>
  <c r="F45" i="15"/>
  <c r="F25" i="17"/>
  <c r="H49" i="17"/>
  <c r="H49" i="16"/>
  <c r="F24" i="15"/>
  <c r="F24" i="16"/>
  <c r="H57" i="16"/>
  <c r="H17" i="9"/>
  <c r="H19" i="17"/>
  <c r="H23" i="7"/>
  <c r="F23" i="17"/>
  <c r="H49" i="15"/>
  <c r="H43" i="17"/>
  <c r="D57" i="16"/>
  <c r="F46" i="16"/>
  <c r="H20" i="15"/>
  <c r="F23" i="16"/>
  <c r="H28" i="15"/>
  <c r="H20" i="9"/>
  <c r="D57" i="17"/>
  <c r="F45" i="17"/>
  <c r="F25" i="16"/>
  <c r="H34" i="15"/>
  <c r="F26" i="16"/>
  <c r="H28" i="16"/>
  <c r="F23" i="15"/>
  <c r="H57" i="17"/>
  <c r="H45" i="15"/>
  <c r="F48" i="15"/>
  <c r="H19" i="9"/>
  <c r="F26" i="15"/>
  <c r="B48" i="16"/>
  <c r="F47" i="16"/>
  <c r="F45" i="16"/>
  <c r="H19" i="16"/>
  <c r="H46" i="17" l="1"/>
  <c r="H46" i="9"/>
  <c r="H47" i="17"/>
  <c r="H47" i="15"/>
  <c r="H47" i="16"/>
  <c r="H46" i="15"/>
  <c r="H48" i="15"/>
  <c r="H48" i="16"/>
  <c r="H48" i="17"/>
  <c r="H51" i="7"/>
  <c r="H50" i="17" s="1"/>
  <c r="H23" i="16"/>
  <c r="H28" i="7"/>
  <c r="H23" i="17"/>
  <c r="H23" i="15"/>
  <c r="H23" i="9"/>
  <c r="H22" i="17"/>
  <c r="H22" i="9"/>
  <c r="H22" i="16"/>
  <c r="H22" i="15"/>
  <c r="H44" i="16"/>
  <c r="H44" i="17"/>
  <c r="H44" i="9"/>
  <c r="H44" i="15"/>
  <c r="H53" i="7" l="1"/>
  <c r="H52" i="15" s="1"/>
  <c r="H50" i="15"/>
  <c r="H50" i="16"/>
  <c r="H50" i="9"/>
  <c r="H27" i="17"/>
  <c r="H27" i="9"/>
  <c r="H27" i="15"/>
  <c r="H27" i="16"/>
  <c r="H52" i="17" l="1"/>
  <c r="H55" i="7"/>
  <c r="H56" i="7" s="1"/>
  <c r="H52" i="9"/>
  <c r="H52" i="16"/>
  <c r="H54" i="15" l="1"/>
  <c r="H54" i="16"/>
  <c r="H54" i="9"/>
  <c r="H54" i="17"/>
  <c r="H55" i="17"/>
  <c r="H55" i="9"/>
  <c r="H55" i="16"/>
  <c r="H55" i="15"/>
  <c r="H57" i="7"/>
  <c r="H56" i="9" l="1"/>
  <c r="H56" i="16"/>
  <c r="H56" i="17"/>
  <c r="H56" i="15"/>
  <c r="H59" i="7"/>
  <c r="H63" i="7" l="1"/>
  <c r="H58" i="15"/>
  <c r="H58" i="17"/>
  <c r="H58" i="16"/>
  <c r="H58" i="9"/>
  <c r="H62" i="9" l="1"/>
  <c r="H62" i="15"/>
  <c r="H62" i="17"/>
  <c r="H62" i="16"/>
  <c r="H65" i="7"/>
  <c r="H64" i="15" l="1"/>
  <c r="I12" i="7"/>
  <c r="H64" i="16"/>
  <c r="H64" i="9"/>
  <c r="H64" i="17"/>
  <c r="B11" i="9" l="1"/>
  <c r="B11" i="17"/>
  <c r="B11" i="15"/>
  <c r="B11" i="16"/>
</calcChain>
</file>

<file path=xl/sharedStrings.xml><?xml version="1.0" encoding="utf-8"?>
<sst xmlns="http://schemas.openxmlformats.org/spreadsheetml/2006/main" count="434" uniqueCount="143">
  <si>
    <t>公簿類</t>
    <rPh sb="0" eb="1">
      <t>コウ</t>
    </rPh>
    <rPh sb="1" eb="2">
      <t>ボ</t>
    </rPh>
    <rPh sb="2" eb="3">
      <t>ルイ</t>
    </rPh>
    <phoneticPr fontId="2"/>
  </si>
  <si>
    <t>地図類</t>
    <rPh sb="0" eb="2">
      <t>チズ</t>
    </rPh>
    <rPh sb="2" eb="3">
      <t>ルイ</t>
    </rPh>
    <phoneticPr fontId="2"/>
  </si>
  <si>
    <t>図面類</t>
    <rPh sb="0" eb="2">
      <t>ズメン</t>
    </rPh>
    <rPh sb="2" eb="3">
      <t>ルイ</t>
    </rPh>
    <phoneticPr fontId="2"/>
  </si>
  <si>
    <t>疎明書面</t>
    <rPh sb="0" eb="1">
      <t>ソ</t>
    </rPh>
    <rPh sb="1" eb="2">
      <t>メイ</t>
    </rPh>
    <rPh sb="2" eb="4">
      <t>ショメン</t>
    </rPh>
    <phoneticPr fontId="2"/>
  </si>
  <si>
    <t>加減率等</t>
    <rPh sb="0" eb="2">
      <t>カゲン</t>
    </rPh>
    <rPh sb="2" eb="3">
      <t>リツ</t>
    </rPh>
    <rPh sb="3" eb="4">
      <t>トウ</t>
    </rPh>
    <phoneticPr fontId="2"/>
  </si>
  <si>
    <t>面積測量</t>
    <rPh sb="0" eb="2">
      <t>メンセキ</t>
    </rPh>
    <rPh sb="2" eb="4">
      <t>ソクリョウ</t>
    </rPh>
    <phoneticPr fontId="2"/>
  </si>
  <si>
    <t>測量業務</t>
    <rPh sb="0" eb="2">
      <t>ソクリョウ</t>
    </rPh>
    <rPh sb="2" eb="4">
      <t>ギョウム</t>
    </rPh>
    <phoneticPr fontId="2"/>
  </si>
  <si>
    <t>登記申請業務</t>
    <rPh sb="0" eb="2">
      <t>トウキ</t>
    </rPh>
    <rPh sb="2" eb="4">
      <t>シンセイ</t>
    </rPh>
    <rPh sb="4" eb="6">
      <t>ギョウム</t>
    </rPh>
    <phoneticPr fontId="2"/>
  </si>
  <si>
    <t>合計報酬額</t>
    <rPh sb="0" eb="2">
      <t>ゴウケイ</t>
    </rPh>
    <rPh sb="2" eb="4">
      <t>ホウシュウ</t>
    </rPh>
    <rPh sb="4" eb="5">
      <t>ガク</t>
    </rPh>
    <phoneticPr fontId="2"/>
  </si>
  <si>
    <t>消費税</t>
    <rPh sb="0" eb="3">
      <t>ショウヒゼイ</t>
    </rPh>
    <phoneticPr fontId="2"/>
  </si>
  <si>
    <t>小計</t>
    <rPh sb="0" eb="2">
      <t>ショウケイ</t>
    </rPh>
    <phoneticPr fontId="2"/>
  </si>
  <si>
    <t>源泉所得税</t>
    <rPh sb="0" eb="2">
      <t>ゲンセン</t>
    </rPh>
    <rPh sb="2" eb="5">
      <t>ショトクゼイ</t>
    </rPh>
    <phoneticPr fontId="2"/>
  </si>
  <si>
    <t>差引金額</t>
    <rPh sb="0" eb="2">
      <t>サシヒキ</t>
    </rPh>
    <rPh sb="2" eb="4">
      <t>キンガク</t>
    </rPh>
    <phoneticPr fontId="2"/>
  </si>
  <si>
    <t>登録免許税</t>
    <rPh sb="0" eb="2">
      <t>トウロク</t>
    </rPh>
    <rPh sb="2" eb="5">
      <t>メンキョゼイ</t>
    </rPh>
    <phoneticPr fontId="2"/>
  </si>
  <si>
    <t>立替金</t>
    <rPh sb="0" eb="2">
      <t>タテカエ</t>
    </rPh>
    <rPh sb="2" eb="3">
      <t>キン</t>
    </rPh>
    <phoneticPr fontId="2"/>
  </si>
  <si>
    <t>⑨</t>
    <phoneticPr fontId="2"/>
  </si>
  <si>
    <t>合計金額</t>
    <rPh sb="0" eb="2">
      <t>ゴウケイ</t>
    </rPh>
    <rPh sb="2" eb="4">
      <t>キンガク</t>
    </rPh>
    <phoneticPr fontId="2"/>
  </si>
  <si>
    <t>前受金</t>
    <rPh sb="0" eb="2">
      <t>マエウ</t>
    </rPh>
    <rPh sb="2" eb="3">
      <t>キン</t>
    </rPh>
    <phoneticPr fontId="2"/>
  </si>
  <si>
    <t>合計受領額</t>
    <rPh sb="0" eb="2">
      <t>ゴウケイ</t>
    </rPh>
    <rPh sb="2" eb="4">
      <t>ジュリョウ</t>
    </rPh>
    <rPh sb="4" eb="5">
      <t>ガク</t>
    </rPh>
    <phoneticPr fontId="2"/>
  </si>
  <si>
    <t>③</t>
    <phoneticPr fontId="2"/>
  </si>
  <si>
    <t>⑤</t>
    <phoneticPr fontId="2"/>
  </si>
  <si>
    <t>⑥</t>
    <phoneticPr fontId="2"/>
  </si>
  <si>
    <t>⑧</t>
    <phoneticPr fontId="2"/>
  </si>
  <si>
    <t>基本</t>
    <rPh sb="0" eb="2">
      <t>キホン</t>
    </rPh>
    <phoneticPr fontId="2"/>
  </si>
  <si>
    <t>加算</t>
    <rPh sb="0" eb="2">
      <t>カサン</t>
    </rPh>
    <phoneticPr fontId="2"/>
  </si>
  <si>
    <t>表題</t>
    <rPh sb="0" eb="2">
      <t>ヒョウダイ</t>
    </rPh>
    <phoneticPr fontId="2"/>
  </si>
  <si>
    <t>④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</si>
  <si>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</si>
  <si>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</si>
  <si>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</si>
  <si>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</si>
  <si>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</si>
  <si>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書類作成等</t>
    <rPh sb="0" eb="2">
      <t>ショルイ</t>
    </rPh>
    <rPh sb="2" eb="4">
      <t>サクセイ</t>
    </rPh>
    <rPh sb="4" eb="5">
      <t>トウ</t>
    </rPh>
    <phoneticPr fontId="2"/>
  </si>
  <si>
    <t>旅費</t>
    <rPh sb="0" eb="2">
      <t>リョヒ</t>
    </rPh>
    <phoneticPr fontId="2"/>
  </si>
  <si>
    <t>作　 業　 種　 別</t>
    <rPh sb="0" eb="1">
      <t>サク</t>
    </rPh>
    <rPh sb="3" eb="4">
      <t>ギョウ</t>
    </rPh>
    <rPh sb="6" eb="7">
      <t>タネ</t>
    </rPh>
    <rPh sb="9" eb="10">
      <t>ベツ</t>
    </rPh>
    <phoneticPr fontId="2"/>
  </si>
  <si>
    <t>所　　　　 　　在</t>
    <rPh sb="0" eb="1">
      <t>トコロ</t>
    </rPh>
    <rPh sb="8" eb="9">
      <t>ザイ</t>
    </rPh>
    <phoneticPr fontId="2"/>
  </si>
  <si>
    <t>数　量</t>
    <rPh sb="0" eb="1">
      <t>カズ</t>
    </rPh>
    <rPh sb="2" eb="3">
      <t>リョウ</t>
    </rPh>
    <phoneticPr fontId="2"/>
  </si>
  <si>
    <t>基 準 額</t>
    <rPh sb="0" eb="1">
      <t>モト</t>
    </rPh>
    <rPh sb="2" eb="3">
      <t>ジュン</t>
    </rPh>
    <rPh sb="4" eb="5">
      <t>ガク</t>
    </rPh>
    <phoneticPr fontId="2"/>
  </si>
  <si>
    <t>報 酬 額</t>
    <rPh sb="0" eb="1">
      <t>ホウ</t>
    </rPh>
    <rPh sb="2" eb="3">
      <t>シュウ</t>
    </rPh>
    <rPh sb="4" eb="5">
      <t>ガク</t>
    </rPh>
    <phoneticPr fontId="2"/>
  </si>
  <si>
    <t>摘　　　　　要</t>
    <rPh sb="0" eb="1">
      <t>テキ</t>
    </rPh>
    <rPh sb="6" eb="7">
      <t>ヨウ</t>
    </rPh>
    <phoneticPr fontId="2"/>
  </si>
  <si>
    <t>調査業務</t>
    <rPh sb="0" eb="1">
      <t>チョウ</t>
    </rPh>
    <rPh sb="1" eb="2">
      <t>サ</t>
    </rPh>
    <rPh sb="2" eb="3">
      <t>ギョウ</t>
    </rPh>
    <rPh sb="3" eb="4">
      <t>ツトム</t>
    </rPh>
    <phoneticPr fontId="2"/>
  </si>
  <si>
    <t>調 整 額</t>
    <rPh sb="0" eb="1">
      <t>チョウ</t>
    </rPh>
    <rPh sb="2" eb="3">
      <t>タダシ</t>
    </rPh>
    <rPh sb="4" eb="5">
      <t>ガク</t>
    </rPh>
    <phoneticPr fontId="2"/>
  </si>
  <si>
    <t>合　　計</t>
    <rPh sb="0" eb="1">
      <t>ゴウ</t>
    </rPh>
    <rPh sb="3" eb="4">
      <t>ケイ</t>
    </rPh>
    <phoneticPr fontId="2"/>
  </si>
  <si>
    <t>小　　計</t>
    <rPh sb="0" eb="1">
      <t>ショウ</t>
    </rPh>
    <rPh sb="3" eb="4">
      <t>ケイ</t>
    </rPh>
    <phoneticPr fontId="2"/>
  </si>
  <si>
    <t>①＋②</t>
    <phoneticPr fontId="2"/>
  </si>
  <si>
    <t>税抜報酬額</t>
    <rPh sb="0" eb="1">
      <t>ゼイ</t>
    </rPh>
    <rPh sb="1" eb="2">
      <t>ヌ</t>
    </rPh>
    <rPh sb="2" eb="4">
      <t>ホウシュウ</t>
    </rPh>
    <rPh sb="4" eb="5">
      <t>ガク</t>
    </rPh>
    <phoneticPr fontId="2"/>
  </si>
  <si>
    <t>①</t>
    <phoneticPr fontId="2"/>
  </si>
  <si>
    <t>②</t>
    <phoneticPr fontId="2"/>
  </si>
  <si>
    <t>③</t>
    <phoneticPr fontId="2"/>
  </si>
  <si>
    <t>③－④</t>
    <phoneticPr fontId="2"/>
  </si>
  <si>
    <t>⑤＋⑥</t>
    <phoneticPr fontId="2"/>
  </si>
  <si>
    <t>入　力　シ　ー　ト</t>
    <rPh sb="0" eb="1">
      <t>イリ</t>
    </rPh>
    <rPh sb="2" eb="3">
      <t>チカラ</t>
    </rPh>
    <phoneticPr fontId="2"/>
  </si>
  <si>
    <t>見積日</t>
    <rPh sb="0" eb="2">
      <t>ミツモリ</t>
    </rPh>
    <rPh sb="2" eb="3">
      <t>ヒ</t>
    </rPh>
    <phoneticPr fontId="2"/>
  </si>
  <si>
    <t>請求日</t>
    <rPh sb="0" eb="2">
      <t>セイキュウ</t>
    </rPh>
    <rPh sb="2" eb="3">
      <t>ビ</t>
    </rPh>
    <phoneticPr fontId="2"/>
  </si>
  <si>
    <t>領収日</t>
    <rPh sb="0" eb="3">
      <t>リョウシュウビ</t>
    </rPh>
    <phoneticPr fontId="2"/>
  </si>
  <si>
    <t>⑦－⑧</t>
    <phoneticPr fontId="2"/>
  </si>
  <si>
    <t>⑦－⑧</t>
    <phoneticPr fontId="2"/>
  </si>
  <si>
    <t>確認</t>
    <rPh sb="0" eb="2">
      <t>カクニン</t>
    </rPh>
    <phoneticPr fontId="2"/>
  </si>
  <si>
    <t>探索</t>
    <rPh sb="0" eb="2">
      <t>タンサク</t>
    </rPh>
    <phoneticPr fontId="2"/>
  </si>
  <si>
    <t>附属建物1棟1階増加ごと</t>
    <rPh sb="0" eb="2">
      <t>フゾク</t>
    </rPh>
    <rPh sb="2" eb="4">
      <t>タテモノ</t>
    </rPh>
    <rPh sb="5" eb="6">
      <t>ムネ</t>
    </rPh>
    <rPh sb="7" eb="8">
      <t>カイ</t>
    </rPh>
    <rPh sb="8" eb="10">
      <t>ゾウカ</t>
    </rPh>
    <phoneticPr fontId="2"/>
  </si>
  <si>
    <t>1階増加ごと</t>
    <rPh sb="1" eb="2">
      <t>カイ</t>
    </rPh>
    <rPh sb="2" eb="4">
      <t>ゾウカ</t>
    </rPh>
    <phoneticPr fontId="2"/>
  </si>
  <si>
    <t>滅失</t>
    <rPh sb="0" eb="2">
      <t>メッシツ</t>
    </rPh>
    <phoneticPr fontId="2"/>
  </si>
  <si>
    <t>資料</t>
    <rPh sb="0" eb="2">
      <t>シリョウ</t>
    </rPh>
    <phoneticPr fontId="2"/>
  </si>
  <si>
    <t>1棟</t>
    <rPh sb="1" eb="2">
      <t>ムネ</t>
    </rPh>
    <phoneticPr fontId="2"/>
  </si>
  <si>
    <t>附属建物1棟増加ごと</t>
    <rPh sb="0" eb="2">
      <t>フゾク</t>
    </rPh>
    <rPh sb="2" eb="4">
      <t>タテモノ</t>
    </rPh>
    <rPh sb="5" eb="6">
      <t>ムネ</t>
    </rPh>
    <rPh sb="6" eb="8">
      <t>ゾウカ</t>
    </rPh>
    <phoneticPr fontId="2"/>
  </si>
  <si>
    <t>滅失証明</t>
    <rPh sb="0" eb="2">
      <t>メッシツ</t>
    </rPh>
    <rPh sb="2" eb="4">
      <t>ショウメイ</t>
    </rPh>
    <phoneticPr fontId="2"/>
  </si>
  <si>
    <t>申述書</t>
    <rPh sb="0" eb="3">
      <t>シンジュツショ</t>
    </rPh>
    <phoneticPr fontId="2"/>
  </si>
  <si>
    <t>100㎡以下</t>
    <rPh sb="4" eb="6">
      <t>イカ</t>
    </rPh>
    <phoneticPr fontId="2"/>
  </si>
  <si>
    <t>200㎡以下</t>
    <rPh sb="4" eb="6">
      <t>イカ</t>
    </rPh>
    <phoneticPr fontId="2"/>
  </si>
  <si>
    <t>300㎡以下</t>
    <rPh sb="4" eb="6">
      <t>イカ</t>
    </rPh>
    <phoneticPr fontId="2"/>
  </si>
  <si>
    <t>400㎡以下</t>
    <rPh sb="4" eb="6">
      <t>イカ</t>
    </rPh>
    <phoneticPr fontId="2"/>
  </si>
  <si>
    <t>600㎡以下</t>
    <rPh sb="4" eb="6">
      <t>イカ</t>
    </rPh>
    <phoneticPr fontId="2"/>
  </si>
  <si>
    <t>書類別基準額リスト</t>
    <rPh sb="0" eb="2">
      <t>ショルイ</t>
    </rPh>
    <rPh sb="2" eb="3">
      <t>ベツ</t>
    </rPh>
    <rPh sb="3" eb="5">
      <t>キジュン</t>
    </rPh>
    <rPh sb="5" eb="6">
      <t>ガク</t>
    </rPh>
    <phoneticPr fontId="2"/>
  </si>
  <si>
    <t>50㎡以下</t>
    <rPh sb="3" eb="5">
      <t>イカ</t>
    </rPh>
    <phoneticPr fontId="2"/>
  </si>
  <si>
    <t>800㎡以下</t>
    <rPh sb="4" eb="6">
      <t>イカ</t>
    </rPh>
    <phoneticPr fontId="2"/>
  </si>
  <si>
    <t>1000㎡以下</t>
    <rPh sb="5" eb="7">
      <t>イカ</t>
    </rPh>
    <phoneticPr fontId="2"/>
  </si>
  <si>
    <t>2000㎡以下</t>
    <rPh sb="5" eb="7">
      <t>イカ</t>
    </rPh>
    <phoneticPr fontId="2"/>
  </si>
  <si>
    <t>3000㎡以下</t>
    <rPh sb="5" eb="7">
      <t>イカ</t>
    </rPh>
    <phoneticPr fontId="2"/>
  </si>
  <si>
    <t>床面積別基準額リスト</t>
    <rPh sb="0" eb="3">
      <t>ユカメンセキ</t>
    </rPh>
    <rPh sb="3" eb="4">
      <t>ベツ</t>
    </rPh>
    <rPh sb="4" eb="6">
      <t>キジュン</t>
    </rPh>
    <rPh sb="6" eb="7">
      <t>ガク</t>
    </rPh>
    <phoneticPr fontId="2"/>
  </si>
  <si>
    <t>現 地</t>
    <rPh sb="0" eb="1">
      <t>ウツツ</t>
    </rPh>
    <rPh sb="2" eb="3">
      <t>チ</t>
    </rPh>
    <phoneticPr fontId="2"/>
  </si>
  <si>
    <t>なし</t>
  </si>
  <si>
    <t>下記のとおり領収いたしました。</t>
    <rPh sb="0" eb="2">
      <t>カキ</t>
    </rPh>
    <rPh sb="6" eb="8">
      <t>リョウシュウ</t>
    </rPh>
    <phoneticPr fontId="2"/>
  </si>
  <si>
    <t>←4000㎡超の場合面積記入</t>
    <rPh sb="6" eb="7">
      <t>チョウ</t>
    </rPh>
    <rPh sb="8" eb="10">
      <t>バアイ</t>
    </rPh>
    <rPh sb="10" eb="12">
      <t>メンセキ</t>
    </rPh>
    <rPh sb="12" eb="14">
      <t>キニュウ</t>
    </rPh>
    <phoneticPr fontId="2"/>
  </si>
  <si>
    <t>敷地境界が不明な場合の調査</t>
    <rPh sb="0" eb="2">
      <t>シキチ</t>
    </rPh>
    <rPh sb="2" eb="4">
      <t>キョウカイ</t>
    </rPh>
    <rPh sb="5" eb="7">
      <t>フメイ</t>
    </rPh>
    <rPh sb="8" eb="10">
      <t>バアイ</t>
    </rPh>
    <rPh sb="11" eb="13">
      <t>チョウサ</t>
    </rPh>
    <phoneticPr fontId="2"/>
  </si>
  <si>
    <t>現地調査費</t>
    <rPh sb="0" eb="2">
      <t>ゲンチ</t>
    </rPh>
    <rPh sb="2" eb="4">
      <t>チョウサ</t>
    </rPh>
    <rPh sb="4" eb="5">
      <t>ヒ</t>
    </rPh>
    <phoneticPr fontId="2"/>
  </si>
  <si>
    <t>調査報告書</t>
    <rPh sb="0" eb="2">
      <t>チョウサ</t>
    </rPh>
    <rPh sb="2" eb="5">
      <t>ホウコクショ</t>
    </rPh>
    <phoneticPr fontId="2"/>
  </si>
  <si>
    <t>工事完了引渡証明</t>
    <rPh sb="0" eb="2">
      <t>コウジ</t>
    </rPh>
    <rPh sb="2" eb="4">
      <t>カンリョウ</t>
    </rPh>
    <rPh sb="4" eb="6">
      <t>ヒキワタシ</t>
    </rPh>
    <rPh sb="6" eb="8">
      <t>ショウメイ</t>
    </rPh>
    <phoneticPr fontId="2"/>
  </si>
  <si>
    <t>住民票等交付手続</t>
    <rPh sb="0" eb="4">
      <t>ジュウミンヒョウナド</t>
    </rPh>
    <rPh sb="4" eb="6">
      <t>コウフ</t>
    </rPh>
    <rPh sb="6" eb="8">
      <t>テツヅキ</t>
    </rPh>
    <phoneticPr fontId="2"/>
  </si>
  <si>
    <t>原本の複製</t>
    <rPh sb="0" eb="2">
      <t>ゲンポン</t>
    </rPh>
    <rPh sb="3" eb="5">
      <t>フクセイ</t>
    </rPh>
    <phoneticPr fontId="2"/>
  </si>
  <si>
    <t>：必要箇所を入力して下さい</t>
    <rPh sb="1" eb="3">
      <t>ヒツヨウ</t>
    </rPh>
    <rPh sb="3" eb="5">
      <t>カショ</t>
    </rPh>
    <rPh sb="6" eb="8">
      <t>ニュウリョク</t>
    </rPh>
    <rPh sb="10" eb="11">
      <t>クダ</t>
    </rPh>
    <phoneticPr fontId="2"/>
  </si>
  <si>
    <t>調査士名</t>
    <rPh sb="0" eb="3">
      <t>チョウサシ</t>
    </rPh>
    <rPh sb="3" eb="4">
      <t>メイ</t>
    </rPh>
    <phoneticPr fontId="2"/>
  </si>
  <si>
    <t>：選択して下さい</t>
    <rPh sb="1" eb="3">
      <t>センタク</t>
    </rPh>
    <rPh sb="5" eb="6">
      <t>クダ</t>
    </rPh>
    <phoneticPr fontId="2"/>
  </si>
  <si>
    <t>：緑色の表内で該当する数字を入力して下さい</t>
    <rPh sb="1" eb="3">
      <t>ミドリイロ</t>
    </rPh>
    <rPh sb="4" eb="6">
      <t>ヒョウナイ</t>
    </rPh>
    <rPh sb="7" eb="9">
      <t>ガイトウ</t>
    </rPh>
    <rPh sb="11" eb="13">
      <t>スウジ</t>
    </rPh>
    <rPh sb="14" eb="16">
      <t>ニュウリョク</t>
    </rPh>
    <rPh sb="18" eb="19">
      <t>クダ</t>
    </rPh>
    <phoneticPr fontId="2"/>
  </si>
  <si>
    <t>：入力不可</t>
    <rPh sb="1" eb="3">
      <t>ニュウリョク</t>
    </rPh>
    <rPh sb="3" eb="5">
      <t>フカ</t>
    </rPh>
    <phoneticPr fontId="2"/>
  </si>
  <si>
    <t>請求額</t>
    <rPh sb="0" eb="2">
      <t>セイキュウ</t>
    </rPh>
    <rPh sb="2" eb="3">
      <t>ガク</t>
    </rPh>
    <phoneticPr fontId="2"/>
  </si>
  <si>
    <t>①</t>
    <phoneticPr fontId="2"/>
  </si>
  <si>
    <t>②</t>
    <phoneticPr fontId="2"/>
  </si>
  <si>
    <t>④</t>
    <phoneticPr fontId="2"/>
  </si>
  <si>
    <t>①＋②</t>
    <phoneticPr fontId="2"/>
  </si>
  <si>
    <t>③－④</t>
    <phoneticPr fontId="2"/>
  </si>
  <si>
    <t>⑤＋⑥</t>
    <phoneticPr fontId="2"/>
  </si>
  <si>
    <t>相続証明書</t>
    <rPh sb="0" eb="2">
      <t>ソウゾク</t>
    </rPh>
    <rPh sb="2" eb="4">
      <t>ショウメイ</t>
    </rPh>
    <rPh sb="4" eb="5">
      <t>ショ</t>
    </rPh>
    <phoneticPr fontId="2"/>
  </si>
  <si>
    <t>所有権証明書</t>
    <rPh sb="0" eb="3">
      <t>ショユウケン</t>
    </rPh>
    <rPh sb="3" eb="5">
      <t>ショウメイ</t>
    </rPh>
    <rPh sb="5" eb="6">
      <t>ショ</t>
    </rPh>
    <phoneticPr fontId="2"/>
  </si>
  <si>
    <t>税込報酬額</t>
    <rPh sb="0" eb="2">
      <t>ゼイコミ</t>
    </rPh>
    <rPh sb="2" eb="4">
      <t>ホウシュウ</t>
    </rPh>
    <rPh sb="4" eb="5">
      <t>ガク</t>
    </rPh>
    <phoneticPr fontId="2"/>
  </si>
  <si>
    <t>源泉差引額</t>
    <rPh sb="0" eb="2">
      <t>ゲンセン</t>
    </rPh>
    <rPh sb="2" eb="4">
      <t>サシヒキ</t>
    </rPh>
    <rPh sb="4" eb="5">
      <t>ガク</t>
    </rPh>
    <phoneticPr fontId="2"/>
  </si>
  <si>
    <t>下記のとおり御請求いたします。</t>
    <rPh sb="0" eb="2">
      <t>カキ</t>
    </rPh>
    <rPh sb="6" eb="9">
      <t>ゴセイキュウ</t>
    </rPh>
    <phoneticPr fontId="2"/>
  </si>
  <si>
    <t xml:space="preserve">お振込みは下記口座へお願いします </t>
    <phoneticPr fontId="2"/>
  </si>
  <si>
    <t>⑦</t>
    <phoneticPr fontId="2"/>
  </si>
  <si>
    <t>⑦</t>
    <phoneticPr fontId="2"/>
  </si>
  <si>
    <t>下記のとおり御見積いたします。</t>
    <rPh sb="0" eb="2">
      <t>カキ</t>
    </rPh>
    <rPh sb="6" eb="9">
      <t>オミツモリ</t>
    </rPh>
    <phoneticPr fontId="2"/>
  </si>
  <si>
    <t>表示変更・更正</t>
    <rPh sb="0" eb="2">
      <t>ヒョウジ</t>
    </rPh>
    <rPh sb="2" eb="4">
      <t>ヘンコウ</t>
    </rPh>
    <rPh sb="5" eb="7">
      <t>コウセイ</t>
    </rPh>
    <phoneticPr fontId="2"/>
  </si>
  <si>
    <t>表示変更・更正
（図面不要）</t>
    <rPh sb="0" eb="2">
      <t>ヒョウジ</t>
    </rPh>
    <rPh sb="2" eb="4">
      <t>ヘンコウ</t>
    </rPh>
    <rPh sb="5" eb="7">
      <t>コウセイ</t>
    </rPh>
    <rPh sb="9" eb="11">
      <t>ズメン</t>
    </rPh>
    <rPh sb="11" eb="13">
      <t>フヨウ</t>
    </rPh>
    <phoneticPr fontId="2"/>
  </si>
  <si>
    <t>面積加減率</t>
    <rPh sb="0" eb="2">
      <t>メンセキ</t>
    </rPh>
    <rPh sb="2" eb="4">
      <t>カゲン</t>
    </rPh>
    <rPh sb="4" eb="5">
      <t>リツ</t>
    </rPh>
    <phoneticPr fontId="2"/>
  </si>
  <si>
    <t>4区画まで</t>
    <rPh sb="1" eb="3">
      <t>クカク</t>
    </rPh>
    <phoneticPr fontId="2"/>
  </si>
  <si>
    <t>5～7区画</t>
    <rPh sb="3" eb="5">
      <t>クカク</t>
    </rPh>
    <phoneticPr fontId="2"/>
  </si>
  <si>
    <t>100％</t>
    <phoneticPr fontId="2"/>
  </si>
  <si>
    <t>120％</t>
    <phoneticPr fontId="2"/>
  </si>
  <si>
    <t>140％</t>
    <phoneticPr fontId="2"/>
  </si>
  <si>
    <t>8～10区画</t>
    <rPh sb="4" eb="6">
      <t>クカク</t>
    </rPh>
    <phoneticPr fontId="2"/>
  </si>
  <si>
    <t>受　 託　 内　 容</t>
    <rPh sb="0" eb="1">
      <t>ウケ</t>
    </rPh>
    <rPh sb="3" eb="4">
      <t>コトヅケ</t>
    </rPh>
    <rPh sb="6" eb="7">
      <t>ナイ</t>
    </rPh>
    <rPh sb="9" eb="10">
      <t>カタチ</t>
    </rPh>
    <phoneticPr fontId="2"/>
  </si>
  <si>
    <t>⑦</t>
    <phoneticPr fontId="2"/>
  </si>
  <si>
    <t>多角測量</t>
    <rPh sb="0" eb="2">
      <t>タカク</t>
    </rPh>
    <rPh sb="2" eb="4">
      <t>ソクリョウ</t>
    </rPh>
    <phoneticPr fontId="2"/>
  </si>
  <si>
    <t>宛名上段</t>
    <rPh sb="0" eb="2">
      <t>アテナ</t>
    </rPh>
    <rPh sb="2" eb="4">
      <t>ジョウダン</t>
    </rPh>
    <phoneticPr fontId="2"/>
  </si>
  <si>
    <t>宛名下段</t>
    <rPh sb="0" eb="2">
      <t>アテナ</t>
    </rPh>
    <rPh sb="2" eb="4">
      <t>カダン</t>
    </rPh>
    <phoneticPr fontId="2"/>
  </si>
  <si>
    <t>1棟1階</t>
    <rPh sb="1" eb="2">
      <t>ムネ</t>
    </rPh>
    <rPh sb="3" eb="4">
      <t>カイ</t>
    </rPh>
    <phoneticPr fontId="2"/>
  </si>
  <si>
    <t>登記事項証明書</t>
    <rPh sb="0" eb="4">
      <t>トウキジコウ</t>
    </rPh>
    <rPh sb="4" eb="7">
      <t>ショウメイショ</t>
    </rPh>
    <phoneticPr fontId="2"/>
  </si>
  <si>
    <t>登記事項要約書</t>
    <rPh sb="0" eb="2">
      <t>トウキ</t>
    </rPh>
    <rPh sb="2" eb="4">
      <t>ジコウ</t>
    </rPh>
    <rPh sb="4" eb="6">
      <t>ヨウヤク</t>
    </rPh>
    <rPh sb="6" eb="7">
      <t>ショ</t>
    </rPh>
    <phoneticPr fontId="2"/>
  </si>
  <si>
    <t>地図等</t>
    <rPh sb="0" eb="3">
      <t>チズトウ</t>
    </rPh>
    <phoneticPr fontId="2"/>
  </si>
  <si>
    <t>ｲﾝﾀｰﾈｯﾄ全部事項</t>
    <rPh sb="7" eb="9">
      <t>ゼンブ</t>
    </rPh>
    <rPh sb="9" eb="11">
      <t>ジコウ</t>
    </rPh>
    <phoneticPr fontId="2"/>
  </si>
  <si>
    <t>業務番号</t>
    <rPh sb="0" eb="2">
      <t>ギョウム</t>
    </rPh>
    <rPh sb="2" eb="4">
      <t>バンゴウ</t>
    </rPh>
    <phoneticPr fontId="2"/>
  </si>
  <si>
    <t>三菱ＵＦＪ銀行 豊橋支店</t>
    <rPh sb="0" eb="2">
      <t>ミツビシ</t>
    </rPh>
    <rPh sb="5" eb="7">
      <t>ギンコウ</t>
    </rPh>
    <rPh sb="8" eb="10">
      <t>トヨハシ</t>
    </rPh>
    <rPh sb="10" eb="12">
      <t>シテン</t>
    </rPh>
    <phoneticPr fontId="2"/>
  </si>
  <si>
    <t>①×10％</t>
  </si>
  <si>
    <t>仮換地証明書</t>
    <rPh sb="0" eb="3">
      <t>カリカンチ</t>
    </rPh>
    <rPh sb="3" eb="6">
      <t>ショウメイショ</t>
    </rPh>
    <phoneticPr fontId="2"/>
  </si>
  <si>
    <t>山本真基</t>
  </si>
  <si>
    <t>事務所　豊橋市前田南町一丁目1番地5</t>
    <rPh sb="0" eb="2">
      <t>ジム</t>
    </rPh>
    <rPh sb="2" eb="3">
      <t>ショ</t>
    </rPh>
    <phoneticPr fontId="2"/>
  </si>
  <si>
    <t>ﾀﾜｰﾚｼﾞﾃﾞﾝｽｱﾈｯｸｽ2-2E</t>
    <phoneticPr fontId="2"/>
  </si>
  <si>
    <t>TEL：0532-26-3590　FAX：0532-26-3591</t>
    <phoneticPr fontId="2"/>
  </si>
  <si>
    <t>登録番号 T6810575689608</t>
  </si>
  <si>
    <t>登録番号 T6810575689608</t>
    <phoneticPr fontId="2"/>
  </si>
  <si>
    <t>Y2026-018</t>
    <phoneticPr fontId="2"/>
  </si>
  <si>
    <t>玉腰裕規様、明日野様</t>
    <rPh sb="0" eb="2">
      <t>タマコシ</t>
    </rPh>
    <rPh sb="2" eb="4">
      <t>ユウキ</t>
    </rPh>
    <rPh sb="4" eb="5">
      <t>サマ</t>
    </rPh>
    <rPh sb="6" eb="8">
      <t>アス</t>
    </rPh>
    <rPh sb="8" eb="9">
      <t>ノ</t>
    </rPh>
    <rPh sb="9" eb="10">
      <t>サマ</t>
    </rPh>
    <phoneticPr fontId="2"/>
  </si>
  <si>
    <t>浜松中央区初生町822番20、822番23、822番25</t>
    <rPh sb="0" eb="2">
      <t>ハママツ</t>
    </rPh>
    <rPh sb="2" eb="5">
      <t>チュウオウク</t>
    </rPh>
    <rPh sb="5" eb="8">
      <t>ハツオイチョウ</t>
    </rPh>
    <rPh sb="11" eb="12">
      <t>バン</t>
    </rPh>
    <rPh sb="18" eb="19">
      <t>バン</t>
    </rPh>
    <rPh sb="25" eb="26">
      <t>バン</t>
    </rPh>
    <phoneticPr fontId="2"/>
  </si>
  <si>
    <t>建物表題登記</t>
    <rPh sb="0" eb="2">
      <t>タテモノ</t>
    </rPh>
    <rPh sb="2" eb="4">
      <t>ヒョウダイ</t>
    </rPh>
    <rPh sb="4" eb="6">
      <t>トウキ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</si>
</sst>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#,###&quot; 円&quot;"/>
    <numFmt numFmtId="177" formatCode="###&quot; ％&quot;"/>
    <numFmt numFmtId="178" formatCode="#,###&quot; ㎡　&quot;"/>
    <numFmt numFmtId="179" formatCode="#,###.#&quot;㎡以下&quot;"/>
    <numFmt numFmtId="180" formatCode="#,###&quot; 筆　&quot;"/>
    <numFmt numFmtId="181" formatCode="#,###&quot; 点　&quot;"/>
    <numFmt numFmtId="182" formatCode="#,###&quot; 件　&quot;"/>
    <numFmt numFmtId="183" formatCode="##&quot; ㎡　&quot;"/>
    <numFmt numFmtId="184" formatCode="###&quot; 通　&quot;"/>
    <numFmt numFmtId="185" formatCode="###&quot; km　&quot;"/>
    <numFmt numFmtId="186" formatCode="#,##0&quot; 円&quot;"/>
    <numFmt numFmtId="187" formatCode="#,###&quot;筆/個&quot;"/>
    <numFmt numFmtId="188" formatCode="#,###&quot; 筆  &quot;"/>
    <numFmt numFmtId="189" formatCode="#,###&quot; 点  &quot;"/>
    <numFmt numFmtId="190" formatCode="#,###&quot;㎡以下&quot;"/>
    <numFmt numFmtId="191" formatCode="#,###&quot; 　　&quot;"/>
    <numFmt numFmtId="192" formatCode="0&quot;㎡以下&quot;"/>
    <numFmt numFmtId="193" formatCode="#,###&quot;円&quot;"/>
    <numFmt numFmtId="194" formatCode="##&quot; 件　&quot;"/>
    <numFmt numFmtId="195" formatCode="#,###&quot; 階  &quot;"/>
    <numFmt numFmtId="196" formatCode="#,###&quot;棟/階&quot;"/>
    <numFmt numFmtId="197" formatCode="#,###&quot; 棟  &quot;"/>
    <numFmt numFmtId="198" formatCode="&quot;金  &quot;#,###&quot; 円&quot;"/>
    <numFmt numFmtId="199" formatCode="&quot;見積日　&quot;ggge&quot;年&quot;m&quot;月&quot;d&quot;日&quot;"/>
    <numFmt numFmtId="200" formatCode="&quot;土地家屋調査士 &quot;@"/>
    <numFmt numFmtId="201" formatCode="&quot;請求日　&quot;ggge&quot;年&quot;m&quot;月&quot;d&quot;日&quot;"/>
    <numFmt numFmtId="202" formatCode="&quot;領収日　&quot;ggge&quot;年&quot;m&quot;月&quot;d&quot;日&quot;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10"/>
      <name val="ＭＳ 明朝"/>
      <family val="1"/>
      <charset val="128"/>
    </font>
    <font>
      <sz val="16"/>
      <name val="ＭＳ ゴシック"/>
      <family val="3"/>
      <charset val="128"/>
    </font>
    <font>
      <b/>
      <sz val="12"/>
      <name val="ＭＳ ゴシック"/>
      <family val="3"/>
      <charset val="128"/>
    </font>
    <font>
      <sz val="9.5"/>
      <name val="ＭＳ 明朝"/>
      <family val="1"/>
      <charset val="128"/>
    </font>
    <font>
      <sz val="9.5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7"/>
      <name val="ＭＳ ゴシック"/>
      <family val="3"/>
      <charset val="128"/>
    </font>
    <font>
      <sz val="20"/>
      <name val="ＭＳ ゴシック"/>
      <family val="3"/>
      <charset val="128"/>
    </font>
    <font>
      <sz val="9"/>
      <color indexed="9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1"/>
      <color indexed="9"/>
      <name val="ＭＳ ゴシック"/>
      <family val="3"/>
      <charset val="128"/>
    </font>
    <font>
      <sz val="9.5"/>
      <color indexed="9"/>
      <name val="ＭＳ 明朝"/>
      <family val="1"/>
      <charset val="128"/>
    </font>
    <font>
      <sz val="9.5"/>
      <color indexed="9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361">
    <xf numFmtId="0" fontId="0" fillId="0" borderId="0" xfId="0"/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58" fontId="3" fillId="0" borderId="0" xfId="0" applyNumberFormat="1" applyFont="1" applyAlignment="1">
      <alignment horizontal="distributed" vertical="center"/>
    </xf>
    <xf numFmtId="177" fontId="10" fillId="2" borderId="1" xfId="0" applyNumberFormat="1" applyFont="1" applyFill="1" applyBorder="1" applyAlignment="1">
      <alignment vertical="center"/>
    </xf>
    <xf numFmtId="177" fontId="10" fillId="2" borderId="2" xfId="0" applyNumberFormat="1" applyFont="1" applyFill="1" applyBorder="1" applyAlignment="1">
      <alignment vertical="center"/>
    </xf>
    <xf numFmtId="177" fontId="10" fillId="2" borderId="3" xfId="0" applyNumberFormat="1" applyFont="1" applyFill="1" applyBorder="1" applyAlignment="1">
      <alignment vertical="center"/>
    </xf>
    <xf numFmtId="181" fontId="10" fillId="2" borderId="2" xfId="0" applyNumberFormat="1" applyFont="1" applyFill="1" applyBorder="1" applyAlignment="1">
      <alignment vertical="center"/>
    </xf>
    <xf numFmtId="182" fontId="10" fillId="2" borderId="2" xfId="0" applyNumberFormat="1" applyFont="1" applyFill="1" applyBorder="1" applyAlignment="1">
      <alignment vertical="center"/>
    </xf>
    <xf numFmtId="182" fontId="10" fillId="2" borderId="1" xfId="0" applyNumberFormat="1" applyFont="1" applyFill="1" applyBorder="1" applyAlignment="1">
      <alignment vertical="center"/>
    </xf>
    <xf numFmtId="184" fontId="10" fillId="2" borderId="1" xfId="0" applyNumberFormat="1" applyFont="1" applyFill="1" applyBorder="1" applyAlignment="1">
      <alignment vertical="center"/>
    </xf>
    <xf numFmtId="184" fontId="10" fillId="2" borderId="2" xfId="0" applyNumberFormat="1" applyFont="1" applyFill="1" applyBorder="1" applyAlignment="1">
      <alignment vertical="center"/>
    </xf>
    <xf numFmtId="176" fontId="10" fillId="2" borderId="4" xfId="0" applyNumberFormat="1" applyFont="1" applyFill="1" applyBorder="1" applyAlignment="1">
      <alignment vertical="center"/>
    </xf>
    <xf numFmtId="185" fontId="10" fillId="2" borderId="5" xfId="0" applyNumberFormat="1" applyFont="1" applyFill="1" applyBorder="1" applyAlignment="1">
      <alignment vertical="center"/>
    </xf>
    <xf numFmtId="176" fontId="11" fillId="2" borderId="6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176" fontId="10" fillId="0" borderId="1" xfId="0" applyNumberFormat="1" applyFont="1" applyBorder="1" applyAlignment="1">
      <alignment vertical="center"/>
    </xf>
    <xf numFmtId="176" fontId="10" fillId="0" borderId="8" xfId="0" applyNumberFormat="1" applyFont="1" applyBorder="1" applyAlignment="1">
      <alignment vertical="center"/>
    </xf>
    <xf numFmtId="180" fontId="10" fillId="0" borderId="2" xfId="0" applyNumberFormat="1" applyFont="1" applyBorder="1" applyAlignment="1">
      <alignment vertical="center"/>
    </xf>
    <xf numFmtId="176" fontId="10" fillId="0" borderId="2" xfId="0" applyNumberFormat="1" applyFont="1" applyBorder="1" applyAlignment="1">
      <alignment vertical="center"/>
    </xf>
    <xf numFmtId="177" fontId="10" fillId="0" borderId="2" xfId="0" applyNumberFormat="1" applyFont="1" applyBorder="1" applyAlignment="1">
      <alignment vertical="center"/>
    </xf>
    <xf numFmtId="176" fontId="10" fillId="0" borderId="9" xfId="0" applyNumberFormat="1" applyFont="1" applyBorder="1" applyAlignment="1">
      <alignment vertical="center"/>
    </xf>
    <xf numFmtId="0" fontId="10" fillId="0" borderId="10" xfId="0" applyFont="1" applyBorder="1" applyAlignment="1">
      <alignment horizontal="left" vertical="center"/>
    </xf>
    <xf numFmtId="182" fontId="10" fillId="0" borderId="2" xfId="0" applyNumberFormat="1" applyFont="1" applyBorder="1" applyAlignment="1">
      <alignment vertical="center"/>
    </xf>
    <xf numFmtId="181" fontId="10" fillId="0" borderId="2" xfId="0" applyNumberFormat="1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176" fontId="10" fillId="0" borderId="11" xfId="0" applyNumberFormat="1" applyFont="1" applyBorder="1" applyAlignment="1">
      <alignment vertical="center"/>
    </xf>
    <xf numFmtId="177" fontId="11" fillId="0" borderId="11" xfId="0" applyNumberFormat="1" applyFont="1" applyBorder="1" applyAlignment="1">
      <alignment horizontal="right" vertical="center"/>
    </xf>
    <xf numFmtId="176" fontId="11" fillId="0" borderId="11" xfId="0" applyNumberFormat="1" applyFont="1" applyBorder="1" applyAlignment="1">
      <alignment vertical="center"/>
    </xf>
    <xf numFmtId="0" fontId="10" fillId="0" borderId="12" xfId="0" applyFont="1" applyBorder="1" applyAlignment="1">
      <alignment horizontal="left" vertical="center"/>
    </xf>
    <xf numFmtId="184" fontId="10" fillId="0" borderId="2" xfId="0" applyNumberFormat="1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185" fontId="10" fillId="0" borderId="5" xfId="0" applyNumberFormat="1" applyFont="1" applyBorder="1" applyAlignment="1">
      <alignment vertical="center"/>
    </xf>
    <xf numFmtId="176" fontId="10" fillId="0" borderId="5" xfId="0" applyNumberFormat="1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177" fontId="11" fillId="0" borderId="13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vertical="center"/>
    </xf>
    <xf numFmtId="177" fontId="11" fillId="0" borderId="4" xfId="0" applyNumberFormat="1" applyFont="1" applyBorder="1" applyAlignment="1">
      <alignment horizontal="right" vertical="center"/>
    </xf>
    <xf numFmtId="0" fontId="11" fillId="0" borderId="15" xfId="0" applyFont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0" fontId="11" fillId="0" borderId="16" xfId="0" applyFont="1" applyBorder="1" applyAlignment="1">
      <alignment horizontal="distributed" vertical="center"/>
    </xf>
    <xf numFmtId="0" fontId="11" fillId="0" borderId="16" xfId="0" applyFont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0" fontId="11" fillId="0" borderId="9" xfId="0" applyFont="1" applyBorder="1" applyAlignment="1">
      <alignment vertical="center"/>
    </xf>
    <xf numFmtId="0" fontId="11" fillId="0" borderId="6" xfId="0" applyFont="1" applyBorder="1" applyAlignment="1">
      <alignment horizontal="distributed" vertical="center"/>
    </xf>
    <xf numFmtId="0" fontId="11" fillId="0" borderId="6" xfId="0" applyFont="1" applyBorder="1" applyAlignment="1">
      <alignment vertical="center"/>
    </xf>
    <xf numFmtId="0" fontId="11" fillId="0" borderId="6" xfId="0" applyFont="1" applyBorder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vertical="center"/>
    </xf>
    <xf numFmtId="0" fontId="11" fillId="0" borderId="11" xfId="0" applyFont="1" applyBorder="1" applyAlignment="1">
      <alignment horizontal="distributed" vertical="center"/>
    </xf>
    <xf numFmtId="0" fontId="11" fillId="0" borderId="11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38" fontId="3" fillId="0" borderId="0" xfId="1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179" fontId="3" fillId="0" borderId="0" xfId="0" applyNumberFormat="1" applyFont="1" applyAlignment="1">
      <alignment horizontal="left" vertical="center"/>
    </xf>
    <xf numFmtId="178" fontId="3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0" fillId="2" borderId="20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10" fillId="2" borderId="21" xfId="0" applyFont="1" applyFill="1" applyBorder="1" applyAlignment="1">
      <alignment horizontal="left" vertical="center"/>
    </xf>
    <xf numFmtId="49" fontId="10" fillId="2" borderId="22" xfId="0" applyNumberFormat="1" applyFont="1" applyFill="1" applyBorder="1" applyAlignment="1">
      <alignment horizontal="left" vertical="center"/>
    </xf>
    <xf numFmtId="0" fontId="10" fillId="2" borderId="22" xfId="0" applyFont="1" applyFill="1" applyBorder="1" applyAlignment="1">
      <alignment horizontal="left" vertical="center"/>
    </xf>
    <xf numFmtId="0" fontId="10" fillId="2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0" fillId="2" borderId="24" xfId="0" applyFont="1" applyFill="1" applyBorder="1" applyAlignment="1">
      <alignment horizontal="left" vertical="center"/>
    </xf>
    <xf numFmtId="187" fontId="10" fillId="2" borderId="25" xfId="0" applyNumberFormat="1" applyFont="1" applyFill="1" applyBorder="1" applyAlignment="1">
      <alignment vertical="center"/>
    </xf>
    <xf numFmtId="188" fontId="10" fillId="2" borderId="2" xfId="0" applyNumberFormat="1" applyFont="1" applyFill="1" applyBorder="1" applyAlignment="1">
      <alignment vertical="center"/>
    </xf>
    <xf numFmtId="187" fontId="10" fillId="2" borderId="1" xfId="0" applyNumberFormat="1" applyFont="1" applyFill="1" applyBorder="1" applyAlignment="1">
      <alignment vertical="center"/>
    </xf>
    <xf numFmtId="189" fontId="10" fillId="2" borderId="2" xfId="0" applyNumberFormat="1" applyFont="1" applyFill="1" applyBorder="1" applyAlignment="1">
      <alignment vertical="center"/>
    </xf>
    <xf numFmtId="191" fontId="10" fillId="2" borderId="25" xfId="0" applyNumberFormat="1" applyFont="1" applyFill="1" applyBorder="1" applyAlignment="1">
      <alignment vertical="center"/>
    </xf>
    <xf numFmtId="191" fontId="10" fillId="0" borderId="2" xfId="0" applyNumberFormat="1" applyFont="1" applyBorder="1" applyAlignment="1">
      <alignment vertical="center"/>
    </xf>
    <xf numFmtId="187" fontId="10" fillId="0" borderId="1" xfId="0" applyNumberFormat="1" applyFont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3" fillId="0" borderId="26" xfId="0" applyFont="1" applyBorder="1" applyAlignment="1">
      <alignment vertical="center"/>
    </xf>
    <xf numFmtId="176" fontId="3" fillId="0" borderId="26" xfId="0" applyNumberFormat="1" applyFont="1" applyBorder="1" applyAlignment="1">
      <alignment horizontal="center" vertical="center"/>
    </xf>
    <xf numFmtId="194" fontId="10" fillId="2" borderId="7" xfId="0" applyNumberFormat="1" applyFont="1" applyFill="1" applyBorder="1" applyAlignment="1">
      <alignment vertical="center"/>
    </xf>
    <xf numFmtId="195" fontId="10" fillId="2" borderId="25" xfId="0" applyNumberFormat="1" applyFont="1" applyFill="1" applyBorder="1" applyAlignment="1">
      <alignment vertical="center"/>
    </xf>
    <xf numFmtId="196" fontId="10" fillId="2" borderId="25" xfId="0" applyNumberFormat="1" applyFont="1" applyFill="1" applyBorder="1" applyAlignment="1">
      <alignment vertical="center"/>
    </xf>
    <xf numFmtId="197" fontId="10" fillId="2" borderId="25" xfId="0" applyNumberFormat="1" applyFont="1" applyFill="1" applyBorder="1" applyAlignment="1">
      <alignment vertical="center"/>
    </xf>
    <xf numFmtId="196" fontId="10" fillId="0" borderId="2" xfId="0" applyNumberFormat="1" applyFont="1" applyBorder="1" applyAlignment="1">
      <alignment vertical="center"/>
    </xf>
    <xf numFmtId="195" fontId="10" fillId="0" borderId="2" xfId="0" applyNumberFormat="1" applyFont="1" applyBorder="1" applyAlignment="1">
      <alignment vertical="center"/>
    </xf>
    <xf numFmtId="197" fontId="10" fillId="0" borderId="2" xfId="0" applyNumberFormat="1" applyFont="1" applyBorder="1" applyAlignment="1">
      <alignment vertical="center"/>
    </xf>
    <xf numFmtId="183" fontId="10" fillId="0" borderId="1" xfId="0" applyNumberFormat="1" applyFont="1" applyBorder="1" applyAlignment="1">
      <alignment vertical="center"/>
    </xf>
    <xf numFmtId="183" fontId="10" fillId="0" borderId="2" xfId="0" applyNumberFormat="1" applyFont="1" applyBorder="1" applyAlignment="1">
      <alignment vertical="center"/>
    </xf>
    <xf numFmtId="183" fontId="10" fillId="2" borderId="1" xfId="0" applyNumberFormat="1" applyFont="1" applyFill="1" applyBorder="1" applyAlignment="1">
      <alignment vertical="center"/>
    </xf>
    <xf numFmtId="183" fontId="10" fillId="2" borderId="2" xfId="0" applyNumberFormat="1" applyFont="1" applyFill="1" applyBorder="1" applyAlignment="1">
      <alignment vertical="center"/>
    </xf>
    <xf numFmtId="0" fontId="3" fillId="0" borderId="0" xfId="0" applyFont="1" applyAlignment="1" applyProtection="1">
      <alignment vertical="center"/>
      <protection hidden="1"/>
    </xf>
    <xf numFmtId="0" fontId="3" fillId="2" borderId="2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15" fillId="3" borderId="15" xfId="0" applyFont="1" applyFill="1" applyBorder="1" applyAlignment="1" applyProtection="1">
      <alignment horizontal="distributed" vertical="center"/>
      <protection hidden="1"/>
    </xf>
    <xf numFmtId="0" fontId="3" fillId="4" borderId="20" xfId="0" applyFont="1" applyFill="1" applyBorder="1" applyAlignment="1" applyProtection="1">
      <alignment horizontal="left" vertical="center"/>
      <protection locked="0"/>
    </xf>
    <xf numFmtId="0" fontId="16" fillId="3" borderId="17" xfId="0" applyFont="1" applyFill="1" applyBorder="1" applyAlignment="1" applyProtection="1">
      <alignment horizontal="distributed" vertical="center"/>
      <protection hidden="1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4" borderId="2" xfId="0" applyFont="1" applyFill="1" applyBorder="1" applyAlignment="1" applyProtection="1">
      <alignment vertical="center"/>
      <protection hidden="1"/>
    </xf>
    <xf numFmtId="0" fontId="3" fillId="4" borderId="10" xfId="0" applyFont="1" applyFill="1" applyBorder="1" applyAlignment="1" applyProtection="1">
      <alignment horizontal="left" vertical="center"/>
      <protection locked="0"/>
    </xf>
    <xf numFmtId="58" fontId="3" fillId="2" borderId="10" xfId="0" applyNumberFormat="1" applyFont="1" applyFill="1" applyBorder="1" applyAlignment="1" applyProtection="1">
      <alignment horizontal="left" vertical="center"/>
      <protection locked="0"/>
    </xf>
    <xf numFmtId="0" fontId="3" fillId="5" borderId="2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distributed" vertical="center"/>
      <protection hidden="1"/>
    </xf>
    <xf numFmtId="0" fontId="5" fillId="3" borderId="2" xfId="0" applyFont="1" applyFill="1" applyBorder="1" applyAlignment="1" applyProtection="1">
      <alignment horizontal="distributed"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16" fillId="3" borderId="18" xfId="0" applyFont="1" applyFill="1" applyBorder="1" applyAlignment="1" applyProtection="1">
      <alignment horizontal="distributed" vertical="center"/>
      <protection hidden="1"/>
    </xf>
    <xf numFmtId="186" fontId="17" fillId="3" borderId="12" xfId="0" applyNumberFormat="1" applyFont="1" applyFill="1" applyBorder="1" applyAlignment="1" applyProtection="1">
      <alignment horizontal="left" vertical="center"/>
      <protection hidden="1"/>
    </xf>
    <xf numFmtId="0" fontId="19" fillId="3" borderId="27" xfId="0" applyFont="1" applyFill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distributed" vertical="center"/>
    </xf>
    <xf numFmtId="0" fontId="19" fillId="3" borderId="6" xfId="0" applyFont="1" applyFill="1" applyBorder="1" applyAlignment="1">
      <alignment horizontal="distributed" vertical="center"/>
    </xf>
    <xf numFmtId="0" fontId="19" fillId="3" borderId="19" xfId="0" applyFont="1" applyFill="1" applyBorder="1" applyAlignment="1">
      <alignment horizontal="center" vertical="center" textRotation="255"/>
    </xf>
    <xf numFmtId="49" fontId="19" fillId="3" borderId="11" xfId="0" applyNumberFormat="1" applyFont="1" applyFill="1" applyBorder="1" applyAlignment="1">
      <alignment horizontal="center" vertical="center"/>
    </xf>
    <xf numFmtId="0" fontId="19" fillId="3" borderId="29" xfId="0" applyFont="1" applyFill="1" applyBorder="1" applyAlignment="1">
      <alignment horizontal="center" vertical="center"/>
    </xf>
    <xf numFmtId="0" fontId="19" fillId="3" borderId="19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9" fillId="3" borderId="19" xfId="0" applyFont="1" applyFill="1" applyBorder="1" applyAlignment="1">
      <alignment vertical="center"/>
    </xf>
    <xf numFmtId="0" fontId="18" fillId="3" borderId="11" xfId="0" applyFont="1" applyFill="1" applyBorder="1" applyAlignment="1">
      <alignment vertical="center"/>
    </xf>
    <xf numFmtId="177" fontId="19" fillId="3" borderId="11" xfId="0" applyNumberFormat="1" applyFont="1" applyFill="1" applyBorder="1" applyAlignment="1">
      <alignment horizontal="right" vertical="center"/>
    </xf>
    <xf numFmtId="176" fontId="19" fillId="3" borderId="11" xfId="0" applyNumberFormat="1" applyFont="1" applyFill="1" applyBorder="1" applyAlignment="1">
      <alignment vertical="center"/>
    </xf>
    <xf numFmtId="176" fontId="18" fillId="3" borderId="11" xfId="0" applyNumberFormat="1" applyFont="1" applyFill="1" applyBorder="1" applyAlignment="1">
      <alignment vertical="center"/>
    </xf>
    <xf numFmtId="176" fontId="18" fillId="3" borderId="1" xfId="0" applyNumberFormat="1" applyFont="1" applyFill="1" applyBorder="1" applyAlignment="1">
      <alignment vertical="center"/>
    </xf>
    <xf numFmtId="176" fontId="18" fillId="3" borderId="2" xfId="0" applyNumberFormat="1" applyFont="1" applyFill="1" applyBorder="1" applyAlignment="1">
      <alignment vertical="center"/>
    </xf>
    <xf numFmtId="176" fontId="18" fillId="3" borderId="25" xfId="0" applyNumberFormat="1" applyFont="1" applyFill="1" applyBorder="1" applyAlignment="1">
      <alignment vertical="center"/>
    </xf>
    <xf numFmtId="176" fontId="18" fillId="3" borderId="5" xfId="0" applyNumberFormat="1" applyFont="1" applyFill="1" applyBorder="1" applyAlignment="1">
      <alignment vertical="center"/>
    </xf>
    <xf numFmtId="0" fontId="18" fillId="3" borderId="13" xfId="0" applyFont="1" applyFill="1" applyBorder="1" applyAlignment="1">
      <alignment vertical="center"/>
    </xf>
    <xf numFmtId="0" fontId="18" fillId="3" borderId="4" xfId="0" applyFont="1" applyFill="1" applyBorder="1" applyAlignment="1">
      <alignment vertical="center"/>
    </xf>
    <xf numFmtId="0" fontId="19" fillId="3" borderId="16" xfId="0" applyFont="1" applyFill="1" applyBorder="1" applyAlignment="1">
      <alignment vertical="center"/>
    </xf>
    <xf numFmtId="0" fontId="19" fillId="3" borderId="6" xfId="0" applyFont="1" applyFill="1" applyBorder="1" applyAlignment="1">
      <alignment vertical="center"/>
    </xf>
    <xf numFmtId="0" fontId="19" fillId="3" borderId="11" xfId="0" applyFont="1" applyFill="1" applyBorder="1" applyAlignment="1">
      <alignment vertical="center"/>
    </xf>
    <xf numFmtId="49" fontId="19" fillId="3" borderId="16" xfId="0" applyNumberFormat="1" applyFont="1" applyFill="1" applyBorder="1" applyAlignment="1">
      <alignment horizontal="center" vertical="center"/>
    </xf>
    <xf numFmtId="49" fontId="19" fillId="3" borderId="30" xfId="0" applyNumberFormat="1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176" fontId="18" fillId="3" borderId="13" xfId="0" applyNumberFormat="1" applyFont="1" applyFill="1" applyBorder="1" applyAlignment="1">
      <alignment vertical="center"/>
    </xf>
    <xf numFmtId="176" fontId="19" fillId="3" borderId="16" xfId="0" applyNumberFormat="1" applyFont="1" applyFill="1" applyBorder="1" applyAlignment="1">
      <alignment vertical="center"/>
    </xf>
    <xf numFmtId="176" fontId="19" fillId="3" borderId="6" xfId="0" applyNumberFormat="1" applyFont="1" applyFill="1" applyBorder="1" applyAlignment="1">
      <alignment vertical="center"/>
    </xf>
    <xf numFmtId="186" fontId="19" fillId="3" borderId="11" xfId="0" applyNumberFormat="1" applyFont="1" applyFill="1" applyBorder="1" applyAlignment="1">
      <alignment vertical="center"/>
    </xf>
    <xf numFmtId="0" fontId="18" fillId="3" borderId="14" xfId="0" applyFont="1" applyFill="1" applyBorder="1" applyAlignment="1">
      <alignment vertical="center"/>
    </xf>
    <xf numFmtId="177" fontId="19" fillId="3" borderId="13" xfId="0" applyNumberFormat="1" applyFont="1" applyFill="1" applyBorder="1" applyAlignment="1">
      <alignment horizontal="right" vertical="center"/>
    </xf>
    <xf numFmtId="177" fontId="19" fillId="3" borderId="4" xfId="0" applyNumberFormat="1" applyFont="1" applyFill="1" applyBorder="1" applyAlignment="1">
      <alignment horizontal="right" vertical="center"/>
    </xf>
    <xf numFmtId="0" fontId="19" fillId="3" borderId="8" xfId="0" applyFont="1" applyFill="1" applyBorder="1" applyAlignment="1">
      <alignment vertical="center"/>
    </xf>
    <xf numFmtId="0" fontId="19" fillId="3" borderId="9" xfId="0" applyFont="1" applyFill="1" applyBorder="1" applyAlignment="1">
      <alignment vertical="center"/>
    </xf>
    <xf numFmtId="0" fontId="19" fillId="3" borderId="31" xfId="0" applyFont="1" applyFill="1" applyBorder="1" applyAlignment="1">
      <alignment vertical="center"/>
    </xf>
    <xf numFmtId="0" fontId="19" fillId="3" borderId="13" xfId="0" applyFont="1" applyFill="1" applyBorder="1" applyAlignment="1">
      <alignment vertical="center"/>
    </xf>
    <xf numFmtId="0" fontId="19" fillId="3" borderId="13" xfId="0" applyFont="1" applyFill="1" applyBorder="1" applyAlignment="1">
      <alignment horizontal="distributed" vertical="center"/>
    </xf>
    <xf numFmtId="0" fontId="19" fillId="3" borderId="32" xfId="0" applyFont="1" applyFill="1" applyBorder="1" applyAlignment="1">
      <alignment vertical="center"/>
    </xf>
    <xf numFmtId="0" fontId="19" fillId="3" borderId="4" xfId="0" applyFont="1" applyFill="1" applyBorder="1" applyAlignment="1">
      <alignment vertical="center"/>
    </xf>
    <xf numFmtId="0" fontId="19" fillId="3" borderId="4" xfId="0" applyFont="1" applyFill="1" applyBorder="1" applyAlignment="1">
      <alignment horizontal="distributed" vertical="center"/>
    </xf>
    <xf numFmtId="0" fontId="19" fillId="3" borderId="15" xfId="0" applyFont="1" applyFill="1" applyBorder="1" applyAlignment="1">
      <alignment horizontal="center" vertical="center"/>
    </xf>
    <xf numFmtId="0" fontId="19" fillId="3" borderId="17" xfId="0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distributed" vertical="center"/>
    </xf>
    <xf numFmtId="0" fontId="19" fillId="3" borderId="13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left" vertical="center"/>
    </xf>
    <xf numFmtId="0" fontId="11" fillId="5" borderId="33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27" xfId="0" applyFont="1" applyFill="1" applyBorder="1" applyAlignment="1">
      <alignment horizontal="center" vertical="center"/>
    </xf>
    <xf numFmtId="0" fontId="11" fillId="5" borderId="28" xfId="0" applyFont="1" applyFill="1" applyBorder="1" applyAlignment="1">
      <alignment horizontal="center" vertical="center"/>
    </xf>
    <xf numFmtId="177" fontId="10" fillId="2" borderId="1" xfId="0" applyNumberFormat="1" applyFont="1" applyFill="1" applyBorder="1" applyAlignment="1">
      <alignment horizontal="right" vertical="center"/>
    </xf>
    <xf numFmtId="177" fontId="10" fillId="2" borderId="2" xfId="0" applyNumberFormat="1" applyFont="1" applyFill="1" applyBorder="1" applyAlignment="1">
      <alignment horizontal="right" vertical="center"/>
    </xf>
    <xf numFmtId="0" fontId="3" fillId="6" borderId="34" xfId="0" applyFont="1" applyFill="1" applyBorder="1" applyAlignment="1">
      <alignment horizontal="center" vertical="center"/>
    </xf>
    <xf numFmtId="190" fontId="3" fillId="6" borderId="25" xfId="0" applyNumberFormat="1" applyFont="1" applyFill="1" applyBorder="1" applyAlignment="1">
      <alignment horizontal="left" vertical="center"/>
    </xf>
    <xf numFmtId="176" fontId="3" fillId="6" borderId="35" xfId="0" applyNumberFormat="1" applyFont="1" applyFill="1" applyBorder="1" applyAlignment="1">
      <alignment horizontal="right" vertical="center"/>
    </xf>
    <xf numFmtId="0" fontId="3" fillId="6" borderId="17" xfId="0" applyFont="1" applyFill="1" applyBorder="1" applyAlignment="1">
      <alignment horizontal="center" vertical="center"/>
    </xf>
    <xf numFmtId="190" fontId="3" fillId="6" borderId="2" xfId="0" applyNumberFormat="1" applyFont="1" applyFill="1" applyBorder="1" applyAlignment="1">
      <alignment horizontal="left" vertical="center"/>
    </xf>
    <xf numFmtId="176" fontId="3" fillId="6" borderId="9" xfId="0" applyNumberFormat="1" applyFont="1" applyFill="1" applyBorder="1" applyAlignment="1">
      <alignment horizontal="right" vertical="center"/>
    </xf>
    <xf numFmtId="0" fontId="3" fillId="6" borderId="36" xfId="0" applyFont="1" applyFill="1" applyBorder="1" applyAlignment="1">
      <alignment horizontal="center" vertical="center"/>
    </xf>
    <xf numFmtId="190" fontId="3" fillId="6" borderId="37" xfId="0" applyNumberFormat="1" applyFont="1" applyFill="1" applyBorder="1" applyAlignment="1">
      <alignment horizontal="left" vertical="center"/>
    </xf>
    <xf numFmtId="176" fontId="3" fillId="6" borderId="10" xfId="0" applyNumberFormat="1" applyFont="1" applyFill="1" applyBorder="1" applyAlignment="1">
      <alignment horizontal="right" vertical="center"/>
    </xf>
    <xf numFmtId="192" fontId="3" fillId="6" borderId="2" xfId="0" applyNumberFormat="1" applyFont="1" applyFill="1" applyBorder="1" applyAlignment="1">
      <alignment horizontal="left" vertical="center"/>
    </xf>
    <xf numFmtId="0" fontId="3" fillId="6" borderId="18" xfId="0" applyFont="1" applyFill="1" applyBorder="1" applyAlignment="1">
      <alignment horizontal="center" vertical="center"/>
    </xf>
    <xf numFmtId="192" fontId="7" fillId="6" borderId="38" xfId="0" applyNumberFormat="1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/>
    </xf>
    <xf numFmtId="0" fontId="3" fillId="6" borderId="29" xfId="0" applyFont="1" applyFill="1" applyBorder="1" applyAlignment="1">
      <alignment vertical="center"/>
    </xf>
    <xf numFmtId="176" fontId="3" fillId="6" borderId="12" xfId="0" applyNumberFormat="1" applyFont="1" applyFill="1" applyBorder="1" applyAlignment="1">
      <alignment horizontal="right" vertical="center"/>
    </xf>
    <xf numFmtId="0" fontId="4" fillId="0" borderId="0" xfId="0" applyFont="1"/>
    <xf numFmtId="187" fontId="10" fillId="0" borderId="2" xfId="0" applyNumberFormat="1" applyFont="1" applyBorder="1" applyAlignment="1">
      <alignment vertical="center"/>
    </xf>
    <xf numFmtId="0" fontId="11" fillId="0" borderId="2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textRotation="255"/>
    </xf>
    <xf numFmtId="49" fontId="11" fillId="0" borderId="11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11" fillId="0" borderId="16" xfId="0" applyNumberFormat="1" applyFont="1" applyBorder="1" applyAlignment="1">
      <alignment horizontal="center" vertical="center"/>
    </xf>
    <xf numFmtId="49" fontId="11" fillId="0" borderId="30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27" xfId="0" applyFont="1" applyBorder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11" fillId="0" borderId="31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13" xfId="0" applyFont="1" applyBorder="1" applyAlignment="1">
      <alignment horizontal="distributed" vertical="center"/>
    </xf>
    <xf numFmtId="0" fontId="11" fillId="0" borderId="13" xfId="0" applyFont="1" applyBorder="1" applyAlignment="1">
      <alignment horizontal="center" vertical="center"/>
    </xf>
    <xf numFmtId="0" fontId="11" fillId="0" borderId="32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distributed" vertical="center"/>
    </xf>
    <xf numFmtId="176" fontId="10" fillId="0" borderId="35" xfId="0" applyNumberFormat="1" applyFont="1" applyBorder="1" applyAlignment="1">
      <alignment vertical="center"/>
    </xf>
    <xf numFmtId="176" fontId="11" fillId="0" borderId="9" xfId="0" applyNumberFormat="1" applyFont="1" applyBorder="1" applyAlignment="1">
      <alignment vertical="center"/>
    </xf>
    <xf numFmtId="176" fontId="11" fillId="0" borderId="29" xfId="0" applyNumberFormat="1" applyFont="1" applyBorder="1" applyAlignment="1">
      <alignment vertical="center"/>
    </xf>
    <xf numFmtId="176" fontId="11" fillId="0" borderId="13" xfId="0" applyNumberFormat="1" applyFont="1" applyBorder="1" applyAlignment="1">
      <alignment vertical="center"/>
    </xf>
    <xf numFmtId="176" fontId="11" fillId="0" borderId="39" xfId="0" applyNumberFormat="1" applyFont="1" applyBorder="1" applyAlignment="1">
      <alignment vertical="center"/>
    </xf>
    <xf numFmtId="176" fontId="11" fillId="0" borderId="40" xfId="0" applyNumberFormat="1" applyFont="1" applyBorder="1" applyAlignment="1">
      <alignment vertical="center"/>
    </xf>
    <xf numFmtId="176" fontId="11" fillId="0" borderId="41" xfId="0" applyNumberFormat="1" applyFont="1" applyBorder="1" applyAlignment="1">
      <alignment vertical="center"/>
    </xf>
    <xf numFmtId="176" fontId="11" fillId="0" borderId="28" xfId="0" applyNumberFormat="1" applyFont="1" applyBorder="1" applyAlignment="1">
      <alignment vertical="center"/>
    </xf>
    <xf numFmtId="176" fontId="11" fillId="0" borderId="42" xfId="0" applyNumberFormat="1" applyFont="1" applyBorder="1" applyAlignment="1">
      <alignment vertical="center"/>
    </xf>
    <xf numFmtId="0" fontId="10" fillId="0" borderId="23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178" fontId="3" fillId="6" borderId="0" xfId="0" applyNumberFormat="1" applyFont="1" applyFill="1" applyAlignment="1">
      <alignment horizontal="left" vertical="center"/>
    </xf>
    <xf numFmtId="49" fontId="3" fillId="6" borderId="0" xfId="1" applyNumberFormat="1" applyFont="1" applyFill="1" applyBorder="1" applyAlignment="1">
      <alignment horizontal="left" vertical="center"/>
    </xf>
    <xf numFmtId="179" fontId="3" fillId="6" borderId="0" xfId="0" applyNumberFormat="1" applyFont="1" applyFill="1" applyAlignment="1">
      <alignment horizontal="left" vertical="center"/>
    </xf>
    <xf numFmtId="49" fontId="3" fillId="6" borderId="0" xfId="0" applyNumberFormat="1" applyFont="1" applyFill="1" applyAlignment="1">
      <alignment horizontal="left" vertical="center"/>
    </xf>
    <xf numFmtId="0" fontId="3" fillId="7" borderId="15" xfId="0" applyFont="1" applyFill="1" applyBorder="1" applyAlignment="1" applyProtection="1">
      <alignment vertical="center"/>
      <protection hidden="1"/>
    </xf>
    <xf numFmtId="193" fontId="3" fillId="7" borderId="20" xfId="0" applyNumberFormat="1" applyFont="1" applyFill="1" applyBorder="1" applyAlignment="1" applyProtection="1">
      <alignment horizontal="right" vertical="center"/>
      <protection hidden="1"/>
    </xf>
    <xf numFmtId="0" fontId="3" fillId="7" borderId="17" xfId="0" applyFont="1" applyFill="1" applyBorder="1" applyAlignment="1" applyProtection="1">
      <alignment vertical="center"/>
      <protection hidden="1"/>
    </xf>
    <xf numFmtId="193" fontId="3" fillId="7" borderId="10" xfId="0" applyNumberFormat="1" applyFont="1" applyFill="1" applyBorder="1" applyAlignment="1" applyProtection="1">
      <alignment vertical="center"/>
      <protection hidden="1"/>
    </xf>
    <xf numFmtId="0" fontId="3" fillId="7" borderId="18" xfId="0" applyFont="1" applyFill="1" applyBorder="1" applyAlignment="1" applyProtection="1">
      <alignment vertical="center"/>
      <protection hidden="1"/>
    </xf>
    <xf numFmtId="193" fontId="3" fillId="7" borderId="12" xfId="0" applyNumberFormat="1" applyFont="1" applyFill="1" applyBorder="1" applyAlignment="1" applyProtection="1">
      <alignment vertical="center"/>
      <protection hidden="1"/>
    </xf>
    <xf numFmtId="188" fontId="10" fillId="0" borderId="2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19" fillId="3" borderId="17" xfId="0" applyFont="1" applyFill="1" applyBorder="1" applyAlignment="1">
      <alignment horizontal="center" vertical="center"/>
    </xf>
    <xf numFmtId="0" fontId="19" fillId="3" borderId="43" xfId="0" applyFont="1" applyFill="1" applyBorder="1" applyAlignment="1">
      <alignment horizontal="center" vertical="distributed" textRotation="255" justifyLastLine="1"/>
    </xf>
    <xf numFmtId="0" fontId="19" fillId="3" borderId="44" xfId="0" applyFont="1" applyFill="1" applyBorder="1" applyAlignment="1">
      <alignment horizontal="center" vertical="distributed" textRotation="255" justifyLastLine="1"/>
    </xf>
    <xf numFmtId="0" fontId="19" fillId="3" borderId="45" xfId="0" applyFont="1" applyFill="1" applyBorder="1" applyAlignment="1">
      <alignment horizontal="center" vertical="distributed" textRotation="255" justifyLastLine="1"/>
    </xf>
    <xf numFmtId="0" fontId="19" fillId="3" borderId="9" xfId="0" applyFont="1" applyFill="1" applyBorder="1" applyAlignment="1">
      <alignment horizontal="distributed" vertical="center" shrinkToFit="1"/>
    </xf>
    <xf numFmtId="0" fontId="19" fillId="3" borderId="6" xfId="0" applyFont="1" applyFill="1" applyBorder="1" applyAlignment="1">
      <alignment horizontal="distributed" vertical="center" shrinkToFit="1"/>
    </xf>
    <xf numFmtId="0" fontId="19" fillId="3" borderId="8" xfId="0" applyFont="1" applyFill="1" applyBorder="1" applyAlignment="1">
      <alignment horizontal="distributed" vertical="center" shrinkToFit="1"/>
    </xf>
    <xf numFmtId="0" fontId="19" fillId="3" borderId="16" xfId="0" applyFont="1" applyFill="1" applyBorder="1" applyAlignment="1">
      <alignment horizontal="distributed" vertical="center" shrinkToFit="1"/>
    </xf>
    <xf numFmtId="0" fontId="19" fillId="3" borderId="46" xfId="0" applyFont="1" applyFill="1" applyBorder="1" applyAlignment="1">
      <alignment horizontal="distributed" vertical="center" wrapText="1"/>
    </xf>
    <xf numFmtId="0" fontId="19" fillId="3" borderId="47" xfId="0" applyFont="1" applyFill="1" applyBorder="1" applyAlignment="1">
      <alignment horizontal="distributed" vertical="center"/>
    </xf>
    <xf numFmtId="0" fontId="19" fillId="3" borderId="48" xfId="0" applyFont="1" applyFill="1" applyBorder="1" applyAlignment="1">
      <alignment horizontal="distributed" vertical="center"/>
    </xf>
    <xf numFmtId="0" fontId="19" fillId="3" borderId="49" xfId="0" applyFont="1" applyFill="1" applyBorder="1" applyAlignment="1">
      <alignment horizontal="distributed" vertical="center"/>
    </xf>
    <xf numFmtId="0" fontId="19" fillId="3" borderId="9" xfId="0" applyFont="1" applyFill="1" applyBorder="1" applyAlignment="1">
      <alignment horizontal="distributed" vertical="center"/>
    </xf>
    <xf numFmtId="0" fontId="19" fillId="3" borderId="6" xfId="0" applyFont="1" applyFill="1" applyBorder="1" applyAlignment="1">
      <alignment horizontal="distributed" vertical="center"/>
    </xf>
    <xf numFmtId="49" fontId="19" fillId="3" borderId="50" xfId="0" applyNumberFormat="1" applyFont="1" applyFill="1" applyBorder="1" applyAlignment="1">
      <alignment horizontal="distributed" vertical="center"/>
    </xf>
    <xf numFmtId="49" fontId="19" fillId="3" borderId="39" xfId="0" applyNumberFormat="1" applyFont="1" applyFill="1" applyBorder="1" applyAlignment="1">
      <alignment horizontal="distributed" vertical="center"/>
    </xf>
    <xf numFmtId="49" fontId="19" fillId="3" borderId="48" xfId="0" applyNumberFormat="1" applyFont="1" applyFill="1" applyBorder="1" applyAlignment="1">
      <alignment horizontal="distributed" vertical="center"/>
    </xf>
    <xf numFmtId="49" fontId="19" fillId="3" borderId="49" xfId="0" applyNumberFormat="1" applyFont="1" applyFill="1" applyBorder="1" applyAlignment="1">
      <alignment horizontal="distributed" vertical="center"/>
    </xf>
    <xf numFmtId="49" fontId="19" fillId="3" borderId="35" xfId="0" applyNumberFormat="1" applyFont="1" applyFill="1" applyBorder="1" applyAlignment="1">
      <alignment horizontal="distributed" vertical="center"/>
    </xf>
    <xf numFmtId="49" fontId="19" fillId="3" borderId="41" xfId="0" applyNumberFormat="1" applyFont="1" applyFill="1" applyBorder="1" applyAlignment="1">
      <alignment horizontal="distributed" vertical="center"/>
    </xf>
    <xf numFmtId="176" fontId="18" fillId="3" borderId="9" xfId="0" applyNumberFormat="1" applyFont="1" applyFill="1" applyBorder="1" applyAlignment="1">
      <alignment horizontal="right" vertical="center"/>
    </xf>
    <xf numFmtId="0" fontId="11" fillId="2" borderId="46" xfId="0" applyFont="1" applyFill="1" applyBorder="1" applyAlignment="1">
      <alignment horizontal="distributed" vertical="center"/>
    </xf>
    <xf numFmtId="0" fontId="11" fillId="2" borderId="47" xfId="0" applyFont="1" applyFill="1" applyBorder="1" applyAlignment="1">
      <alignment horizontal="distributed" vertical="center"/>
    </xf>
    <xf numFmtId="0" fontId="11" fillId="2" borderId="48" xfId="0" applyFont="1" applyFill="1" applyBorder="1" applyAlignment="1">
      <alignment horizontal="distributed" vertical="center"/>
    </xf>
    <xf numFmtId="0" fontId="11" fillId="2" borderId="49" xfId="0" applyFont="1" applyFill="1" applyBorder="1" applyAlignment="1">
      <alignment horizontal="distributed" vertical="center"/>
    </xf>
    <xf numFmtId="0" fontId="11" fillId="2" borderId="35" xfId="0" applyFont="1" applyFill="1" applyBorder="1" applyAlignment="1">
      <alignment horizontal="distributed" vertical="center"/>
    </xf>
    <xf numFmtId="0" fontId="11" fillId="2" borderId="41" xfId="0" applyFont="1" applyFill="1" applyBorder="1" applyAlignment="1">
      <alignment horizontal="distributed" vertical="center"/>
    </xf>
    <xf numFmtId="176" fontId="18" fillId="3" borderId="2" xfId="0" applyNumberFormat="1" applyFont="1" applyFill="1" applyBorder="1" applyAlignment="1">
      <alignment horizontal="right" vertical="center"/>
    </xf>
    <xf numFmtId="176" fontId="18" fillId="3" borderId="1" xfId="0" applyNumberFormat="1" applyFont="1" applyFill="1" applyBorder="1" applyAlignment="1">
      <alignment horizontal="right" vertical="center"/>
    </xf>
    <xf numFmtId="0" fontId="19" fillId="3" borderId="46" xfId="0" applyFont="1" applyFill="1" applyBorder="1" applyAlignment="1">
      <alignment horizontal="distributed" vertical="center"/>
    </xf>
    <xf numFmtId="0" fontId="19" fillId="3" borderId="35" xfId="0" applyFont="1" applyFill="1" applyBorder="1" applyAlignment="1">
      <alignment horizontal="distributed" vertical="center"/>
    </xf>
    <xf numFmtId="0" fontId="19" fillId="3" borderId="41" xfId="0" applyFont="1" applyFill="1" applyBorder="1" applyAlignment="1">
      <alignment horizontal="distributed" vertical="center"/>
    </xf>
    <xf numFmtId="0" fontId="8" fillId="0" borderId="57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177" fontId="10" fillId="2" borderId="53" xfId="0" applyNumberFormat="1" applyFont="1" applyFill="1" applyBorder="1" applyAlignment="1">
      <alignment horizontal="right" vertical="center"/>
    </xf>
    <xf numFmtId="177" fontId="10" fillId="2" borderId="51" xfId="0" applyNumberFormat="1" applyFont="1" applyFill="1" applyBorder="1" applyAlignment="1">
      <alignment horizontal="right" vertical="center"/>
    </xf>
    <xf numFmtId="177" fontId="10" fillId="2" borderId="25" xfId="0" applyNumberFormat="1" applyFont="1" applyFill="1" applyBorder="1" applyAlignment="1">
      <alignment horizontal="right" vertical="center"/>
    </xf>
    <xf numFmtId="177" fontId="10" fillId="2" borderId="37" xfId="0" applyNumberFormat="1" applyFont="1" applyFill="1" applyBorder="1" applyAlignment="1">
      <alignment horizontal="right"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60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left" vertical="center"/>
    </xf>
    <xf numFmtId="0" fontId="10" fillId="2" borderId="52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0" fillId="2" borderId="55" xfId="0" applyFont="1" applyFill="1" applyBorder="1" applyAlignment="1">
      <alignment horizontal="left" vertical="center"/>
    </xf>
    <xf numFmtId="0" fontId="19" fillId="3" borderId="61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2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distributed" vertical="center"/>
    </xf>
    <xf numFmtId="0" fontId="19" fillId="3" borderId="16" xfId="0" applyFont="1" applyFill="1" applyBorder="1" applyAlignment="1">
      <alignment horizontal="distributed" vertical="center"/>
    </xf>
    <xf numFmtId="0" fontId="19" fillId="3" borderId="53" xfId="0" applyFont="1" applyFill="1" applyBorder="1" applyAlignment="1">
      <alignment horizontal="center" vertical="distributed" textRotation="255" justifyLastLine="1"/>
    </xf>
    <xf numFmtId="0" fontId="19" fillId="3" borderId="51" xfId="0" applyFont="1" applyFill="1" applyBorder="1" applyAlignment="1">
      <alignment horizontal="center" vertical="distributed" textRotation="255" justifyLastLine="1"/>
    </xf>
    <xf numFmtId="0" fontId="19" fillId="3" borderId="25" xfId="0" applyFont="1" applyFill="1" applyBorder="1" applyAlignment="1">
      <alignment horizontal="center" vertical="distributed" textRotation="255" justifyLastLine="1"/>
    </xf>
    <xf numFmtId="0" fontId="19" fillId="3" borderId="37" xfId="0" applyFont="1" applyFill="1" applyBorder="1" applyAlignment="1">
      <alignment horizontal="center" vertical="center" textRotation="255" wrapText="1"/>
    </xf>
    <xf numFmtId="0" fontId="19" fillId="3" borderId="51" xfId="0" applyFont="1" applyFill="1" applyBorder="1" applyAlignment="1">
      <alignment horizontal="center" vertical="center" textRotation="255" wrapText="1"/>
    </xf>
    <xf numFmtId="0" fontId="19" fillId="3" borderId="25" xfId="0" applyFont="1" applyFill="1" applyBorder="1" applyAlignment="1">
      <alignment horizontal="center" vertical="center" textRotation="255" wrapText="1"/>
    </xf>
    <xf numFmtId="0" fontId="19" fillId="3" borderId="54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/>
    </xf>
    <xf numFmtId="0" fontId="19" fillId="3" borderId="56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42" xfId="0" applyFont="1" applyFill="1" applyBorder="1" applyAlignment="1">
      <alignment horizontal="center" vertical="center"/>
    </xf>
    <xf numFmtId="198" fontId="9" fillId="0" borderId="4" xfId="0" applyNumberFormat="1" applyFont="1" applyBorder="1" applyAlignment="1">
      <alignment horizontal="center" vertical="center"/>
    </xf>
    <xf numFmtId="0" fontId="5" fillId="0" borderId="0" xfId="0" applyFont="1" applyAlignment="1">
      <alignment horizontal="distributed" vertical="center"/>
    </xf>
    <xf numFmtId="0" fontId="5" fillId="0" borderId="30" xfId="0" applyFont="1" applyBorder="1" applyAlignment="1">
      <alignment horizontal="distributed" vertical="center" justifyLastLine="1"/>
    </xf>
    <xf numFmtId="0" fontId="5" fillId="0" borderId="0" xfId="0" applyFont="1" applyAlignment="1">
      <alignment horizontal="distributed" vertical="center" justifyLastLine="1"/>
    </xf>
    <xf numFmtId="199" fontId="4" fillId="0" borderId="0" xfId="0" applyNumberFormat="1" applyFont="1" applyAlignment="1">
      <alignment horizontal="left" vertical="center" indent="4"/>
    </xf>
    <xf numFmtId="0" fontId="4" fillId="0" borderId="0" xfId="0" applyFont="1" applyAlignment="1">
      <alignment horizontal="left" vertical="center" indent="4"/>
    </xf>
    <xf numFmtId="0" fontId="4" fillId="0" borderId="0" xfId="0" applyFont="1" applyAlignment="1">
      <alignment horizontal="left" vertical="center" indent="8"/>
    </xf>
    <xf numFmtId="200" fontId="4" fillId="0" borderId="4" xfId="0" applyNumberFormat="1" applyFont="1" applyBorder="1" applyAlignment="1">
      <alignment horizontal="left" vertical="center" indent="8"/>
    </xf>
    <xf numFmtId="0" fontId="11" fillId="0" borderId="17" xfId="0" applyFont="1" applyBorder="1" applyAlignment="1">
      <alignment horizontal="center" vertical="center"/>
    </xf>
    <xf numFmtId="176" fontId="10" fillId="0" borderId="37" xfId="0" applyNumberFormat="1" applyFont="1" applyBorder="1" applyAlignment="1">
      <alignment horizontal="right" vertical="center"/>
    </xf>
    <xf numFmtId="176" fontId="10" fillId="0" borderId="51" xfId="0" applyNumberFormat="1" applyFont="1" applyBorder="1" applyAlignment="1">
      <alignment horizontal="right" vertical="center"/>
    </xf>
    <xf numFmtId="176" fontId="10" fillId="0" borderId="25" xfId="0" applyNumberFormat="1" applyFont="1" applyBorder="1" applyAlignment="1">
      <alignment horizontal="right" vertical="center"/>
    </xf>
    <xf numFmtId="0" fontId="11" fillId="0" borderId="9" xfId="0" applyFont="1" applyBorder="1" applyAlignment="1">
      <alignment horizontal="distributed" vertical="center"/>
    </xf>
    <xf numFmtId="0" fontId="11" fillId="0" borderId="6" xfId="0" applyFont="1" applyBorder="1" applyAlignment="1">
      <alignment horizontal="distributed" vertical="center"/>
    </xf>
    <xf numFmtId="0" fontId="11" fillId="0" borderId="43" xfId="0" applyFont="1" applyBorder="1" applyAlignment="1">
      <alignment horizontal="center" vertical="distributed" textRotation="255" justifyLastLine="1"/>
    </xf>
    <xf numFmtId="0" fontId="11" fillId="0" borderId="44" xfId="0" applyFont="1" applyBorder="1" applyAlignment="1">
      <alignment horizontal="center" vertical="distributed" textRotation="255" justifyLastLine="1"/>
    </xf>
    <xf numFmtId="0" fontId="11" fillId="0" borderId="45" xfId="0" applyFont="1" applyBorder="1" applyAlignment="1">
      <alignment horizontal="center" vertical="distributed" textRotation="255" justifyLastLine="1"/>
    </xf>
    <xf numFmtId="0" fontId="11" fillId="0" borderId="9" xfId="0" applyFont="1" applyBorder="1" applyAlignment="1">
      <alignment horizontal="distributed" vertical="center" shrinkToFit="1"/>
    </xf>
    <xf numFmtId="0" fontId="11" fillId="0" borderId="6" xfId="0" applyFont="1" applyBorder="1" applyAlignment="1">
      <alignment horizontal="distributed" vertical="center" shrinkToFit="1"/>
    </xf>
    <xf numFmtId="0" fontId="11" fillId="0" borderId="8" xfId="0" applyFont="1" applyBorder="1" applyAlignment="1">
      <alignment horizontal="distributed" vertical="center" shrinkToFit="1"/>
    </xf>
    <xf numFmtId="0" fontId="11" fillId="0" borderId="16" xfId="0" applyFont="1" applyBorder="1" applyAlignment="1">
      <alignment horizontal="distributed" vertical="center" shrinkToFit="1"/>
    </xf>
    <xf numFmtId="0" fontId="11" fillId="0" borderId="46" xfId="0" applyFont="1" applyBorder="1" applyAlignment="1">
      <alignment horizontal="distributed" vertical="center"/>
    </xf>
    <xf numFmtId="0" fontId="11" fillId="0" borderId="47" xfId="0" applyFont="1" applyBorder="1" applyAlignment="1">
      <alignment horizontal="distributed" vertical="center"/>
    </xf>
    <xf numFmtId="0" fontId="11" fillId="0" borderId="48" xfId="0" applyFont="1" applyBorder="1" applyAlignment="1">
      <alignment horizontal="distributed" vertical="center"/>
    </xf>
    <xf numFmtId="0" fontId="11" fillId="0" borderId="49" xfId="0" applyFont="1" applyBorder="1" applyAlignment="1">
      <alignment horizontal="distributed" vertical="center"/>
    </xf>
    <xf numFmtId="0" fontId="11" fillId="0" borderId="35" xfId="0" applyFont="1" applyBorder="1" applyAlignment="1">
      <alignment horizontal="distributed" vertical="center"/>
    </xf>
    <xf numFmtId="0" fontId="11" fillId="0" borderId="41" xfId="0" applyFont="1" applyBorder="1" applyAlignment="1">
      <alignment horizontal="distributed" vertical="center"/>
    </xf>
    <xf numFmtId="0" fontId="11" fillId="0" borderId="46" xfId="0" applyFont="1" applyBorder="1" applyAlignment="1">
      <alignment horizontal="distributed" vertical="center" wrapText="1"/>
    </xf>
    <xf numFmtId="177" fontId="10" fillId="0" borderId="37" xfId="0" applyNumberFormat="1" applyFont="1" applyBorder="1" applyAlignment="1">
      <alignment horizontal="right" vertical="center"/>
    </xf>
    <xf numFmtId="177" fontId="10" fillId="0" borderId="25" xfId="0" applyNumberFormat="1" applyFont="1" applyBorder="1" applyAlignment="1">
      <alignment horizontal="right" vertical="center"/>
    </xf>
    <xf numFmtId="177" fontId="10" fillId="0" borderId="51" xfId="0" applyNumberFormat="1" applyFont="1" applyBorder="1" applyAlignment="1">
      <alignment horizontal="right" vertical="center"/>
    </xf>
    <xf numFmtId="176" fontId="10" fillId="0" borderId="9" xfId="0" applyNumberFormat="1" applyFont="1" applyBorder="1" applyAlignment="1">
      <alignment horizontal="right" vertical="center"/>
    </xf>
    <xf numFmtId="177" fontId="10" fillId="0" borderId="1" xfId="0" applyNumberFormat="1" applyFont="1" applyBorder="1" applyAlignment="1">
      <alignment horizontal="right" vertical="center"/>
    </xf>
    <xf numFmtId="177" fontId="10" fillId="0" borderId="2" xfId="0" applyNumberFormat="1" applyFont="1" applyBorder="1" applyAlignment="1">
      <alignment horizontal="right" vertical="center"/>
    </xf>
    <xf numFmtId="176" fontId="10" fillId="0" borderId="53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left" vertical="center" indent="1"/>
    </xf>
    <xf numFmtId="0" fontId="10" fillId="0" borderId="6" xfId="0" applyFont="1" applyBorder="1" applyAlignment="1">
      <alignment horizontal="left" vertical="center" indent="1"/>
    </xf>
    <xf numFmtId="0" fontId="10" fillId="0" borderId="55" xfId="0" applyFont="1" applyBorder="1" applyAlignment="1">
      <alignment horizontal="left" vertical="center" indent="1"/>
    </xf>
    <xf numFmtId="0" fontId="10" fillId="0" borderId="8" xfId="0" applyFont="1" applyBorder="1" applyAlignment="1">
      <alignment horizontal="left" vertical="center" indent="1"/>
    </xf>
    <xf numFmtId="0" fontId="10" fillId="0" borderId="16" xfId="0" applyFont="1" applyBorder="1" applyAlignment="1">
      <alignment horizontal="left" vertical="center" indent="1"/>
    </xf>
    <xf numFmtId="0" fontId="10" fillId="0" borderId="52" xfId="0" applyFont="1" applyBorder="1" applyAlignment="1">
      <alignment horizontal="left" vertical="center" indent="1"/>
    </xf>
    <xf numFmtId="49" fontId="11" fillId="0" borderId="50" xfId="0" applyNumberFormat="1" applyFont="1" applyBorder="1" applyAlignment="1">
      <alignment horizontal="distributed" vertical="center"/>
    </xf>
    <xf numFmtId="0" fontId="11" fillId="0" borderId="39" xfId="0" applyFont="1" applyBorder="1" applyAlignment="1">
      <alignment horizontal="distributed" vertical="center"/>
    </xf>
    <xf numFmtId="0" fontId="11" fillId="0" borderId="5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distributed" textRotation="255" justifyLastLine="1"/>
    </xf>
    <xf numFmtId="0" fontId="11" fillId="0" borderId="51" xfId="0" applyFont="1" applyBorder="1" applyAlignment="1">
      <alignment horizontal="center" vertical="distributed" textRotation="255" justifyLastLine="1"/>
    </xf>
    <xf numFmtId="0" fontId="11" fillId="0" borderId="25" xfId="0" applyFont="1" applyBorder="1" applyAlignment="1">
      <alignment horizontal="center" vertical="distributed" textRotation="255" justifyLastLine="1"/>
    </xf>
    <xf numFmtId="0" fontId="11" fillId="0" borderId="37" xfId="0" applyFont="1" applyBorder="1" applyAlignment="1">
      <alignment horizontal="center" vertical="center" textRotation="255" wrapText="1"/>
    </xf>
    <xf numFmtId="0" fontId="11" fillId="0" borderId="51" xfId="0" applyFont="1" applyBorder="1" applyAlignment="1">
      <alignment horizontal="center" vertical="center" textRotation="255" wrapText="1"/>
    </xf>
    <xf numFmtId="0" fontId="11" fillId="0" borderId="25" xfId="0" applyFont="1" applyBorder="1" applyAlignment="1">
      <alignment horizontal="center" vertical="center" textRotation="255" wrapText="1"/>
    </xf>
    <xf numFmtId="0" fontId="11" fillId="0" borderId="5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201" fontId="4" fillId="0" borderId="0" xfId="0" applyNumberFormat="1" applyFont="1" applyAlignment="1">
      <alignment horizontal="left" vertical="center" indent="4"/>
    </xf>
    <xf numFmtId="202" fontId="4" fillId="0" borderId="0" xfId="0" applyNumberFormat="1" applyFont="1" applyAlignment="1">
      <alignment horizontal="left" vertical="center" indent="4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</xdr:colOff>
      <xdr:row>0</xdr:row>
      <xdr:rowOff>9525</xdr:rowOff>
    </xdr:from>
    <xdr:to>
      <xdr:col>8</xdr:col>
      <xdr:colOff>1987320</xdr:colOff>
      <xdr:row>4</xdr:row>
      <xdr:rowOff>47625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C77EC50F-0C6A-4CCE-9701-7EC4AE8ED73F}"/>
            </a:ext>
          </a:extLst>
        </xdr:cNvPr>
        <xdr:cNvSpPr>
          <a:spLocks noChangeArrowheads="1"/>
        </xdr:cNvSpPr>
      </xdr:nvSpPr>
      <xdr:spPr bwMode="auto">
        <a:xfrm>
          <a:off x="11430" y="9525"/>
          <a:ext cx="7071765" cy="68580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vertOverflow="clip" wrap="square" lIns="64008" tIns="27432" rIns="64008" bIns="27432" anchor="ctr" upright="1"/>
        <a:lstStyle/>
        <a:p>
          <a:pPr algn="ctr" rtl="0">
            <a:defRPr sz="1000"/>
          </a:pPr>
          <a:r>
            <a:rPr lang="ja-JP" altLang="en-US" sz="2200" b="1" i="0" u="none" strike="noStrike" baseline="0">
              <a:solidFill>
                <a:srgbClr val="000000"/>
              </a:solidFill>
              <a:latin typeface="HG丸ｺﾞｼｯｸM-PRO"/>
              <a:ea typeface="HG丸ｺﾞｼｯｸM-PRO"/>
            </a:rPr>
            <a:t>御　見　積　書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0</xdr:row>
      <xdr:rowOff>161925</xdr:rowOff>
    </xdr:from>
    <xdr:to>
      <xdr:col>9</xdr:col>
      <xdr:colOff>9525</xdr:colOff>
      <xdr:row>5</xdr:row>
      <xdr:rowOff>28575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F173C154-9A7E-4D2D-89DC-AEEEDBF5E53A}"/>
            </a:ext>
          </a:extLst>
        </xdr:cNvPr>
        <xdr:cNvSpPr>
          <a:spLocks noChangeArrowheads="1"/>
        </xdr:cNvSpPr>
      </xdr:nvSpPr>
      <xdr:spPr bwMode="auto">
        <a:xfrm>
          <a:off x="5448300" y="161925"/>
          <a:ext cx="1657350" cy="676275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9525</xdr:rowOff>
    </xdr:from>
    <xdr:to>
      <xdr:col>9</xdr:col>
      <xdr:colOff>0</xdr:colOff>
      <xdr:row>4</xdr:row>
      <xdr:rowOff>47625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CA376619-D95F-499D-93F6-92D029A9D7A7}"/>
            </a:ext>
          </a:extLst>
        </xdr:cNvPr>
        <xdr:cNvSpPr>
          <a:spLocks noChangeArrowheads="1"/>
        </xdr:cNvSpPr>
      </xdr:nvSpPr>
      <xdr:spPr bwMode="auto">
        <a:xfrm>
          <a:off x="9525" y="9525"/>
          <a:ext cx="7086600" cy="68580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vertOverflow="clip" wrap="square" lIns="64008" tIns="27432" rIns="64008" bIns="27432" anchor="ctr" upright="1"/>
        <a:lstStyle/>
        <a:p>
          <a:pPr algn="ctr" rtl="0">
            <a:defRPr sz="1000"/>
          </a:pPr>
          <a:r>
            <a:rPr lang="ja-JP" altLang="en-US" sz="2200" b="1" i="0" u="none" strike="noStrike" baseline="0">
              <a:solidFill>
                <a:srgbClr val="000000"/>
              </a:solidFill>
              <a:latin typeface="HG丸ｺﾞｼｯｸM-PRO"/>
              <a:ea typeface="HG丸ｺﾞｼｯｸM-PRO"/>
            </a:rPr>
            <a:t>御　請　求　書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300990</xdr:colOff>
      <xdr:row>0</xdr:row>
      <xdr:rowOff>9525</xdr:rowOff>
    </xdr:from>
    <xdr:to>
      <xdr:col>9</xdr:col>
      <xdr:colOff>3924</xdr:colOff>
      <xdr:row>2</xdr:row>
      <xdr:rowOff>104775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10E21695-CC6B-45D4-8651-D2B12DA5841B}"/>
            </a:ext>
          </a:extLst>
        </xdr:cNvPr>
        <xdr:cNvSpPr txBox="1">
          <a:spLocks noChangeArrowheads="1"/>
        </xdr:cNvSpPr>
      </xdr:nvSpPr>
      <xdr:spPr bwMode="auto">
        <a:xfrm>
          <a:off x="5396865" y="9525"/>
          <a:ext cx="1703184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非課税　印紙税法別表第1の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17号非課税物件欄の2に該当</a:t>
          </a:r>
        </a:p>
      </xdr:txBody>
    </xdr:sp>
    <xdr:clientData/>
  </xdr:twoCellAnchor>
  <xdr:twoCellAnchor>
    <xdr:from>
      <xdr:col>0</xdr:col>
      <xdr:colOff>9525</xdr:colOff>
      <xdr:row>0</xdr:row>
      <xdr:rowOff>9525</xdr:rowOff>
    </xdr:from>
    <xdr:to>
      <xdr:col>9</xdr:col>
      <xdr:colOff>0</xdr:colOff>
      <xdr:row>4</xdr:row>
      <xdr:rowOff>47625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72E71EEA-5996-47AF-A5A8-A2174C2C4FCB}"/>
            </a:ext>
          </a:extLst>
        </xdr:cNvPr>
        <xdr:cNvSpPr>
          <a:spLocks noChangeArrowheads="1"/>
        </xdr:cNvSpPr>
      </xdr:nvSpPr>
      <xdr:spPr bwMode="auto">
        <a:xfrm>
          <a:off x="9525" y="9525"/>
          <a:ext cx="7086600" cy="68580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vertOverflow="clip" wrap="square" lIns="64008" tIns="27432" rIns="64008" bIns="27432" anchor="ctr" upright="1"/>
        <a:lstStyle/>
        <a:p>
          <a:pPr algn="ctr" rtl="0">
            <a:defRPr sz="1000"/>
          </a:pPr>
          <a:r>
            <a:rPr lang="ja-JP" altLang="en-US" sz="2200" b="1" i="0" u="none" strike="noStrike" baseline="0">
              <a:solidFill>
                <a:srgbClr val="000000"/>
              </a:solidFill>
              <a:latin typeface="HG丸ｺﾞｼｯｸM-PRO"/>
              <a:ea typeface="HG丸ｺﾞｼｯｸM-PRO"/>
            </a:rPr>
            <a:t>領　　収　　書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9</xdr:col>
      <xdr:colOff>0</xdr:colOff>
      <xdr:row>4</xdr:row>
      <xdr:rowOff>47625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313DCBB-62B0-4217-910D-0D67C7AD56F0}"/>
            </a:ext>
          </a:extLst>
        </xdr:cNvPr>
        <xdr:cNvSpPr>
          <a:spLocks noChangeArrowheads="1"/>
        </xdr:cNvSpPr>
      </xdr:nvSpPr>
      <xdr:spPr bwMode="auto">
        <a:xfrm>
          <a:off x="9525" y="9525"/>
          <a:ext cx="7086600" cy="68580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vertOverflow="clip" wrap="square" lIns="64008" tIns="27432" rIns="64008" bIns="27432" anchor="ctr" upright="1"/>
        <a:lstStyle/>
        <a:p>
          <a:pPr algn="ctr" rtl="0">
            <a:defRPr sz="1000"/>
          </a:pPr>
          <a:r>
            <a:rPr lang="ja-JP" altLang="en-US" sz="2200" b="1" i="0" u="none" strike="noStrike" baseline="0">
              <a:solidFill>
                <a:srgbClr val="000000"/>
              </a:solidFill>
              <a:latin typeface="HG丸ｺﾞｼｯｸM-PRO"/>
              <a:ea typeface="HG丸ｺﾞｼｯｸM-PRO"/>
            </a:rPr>
            <a:t>請求書・領収書控え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zoomScaleNormal="100" zoomScaleSheetLayoutView="100" workbookViewId="0">
      <selection activeCell="I11" sqref="I11"/>
    </sheetView>
  </sheetViews>
  <sheetFormatPr defaultColWidth="9" defaultRowHeight="12" x14ac:dyDescent="0.15"/>
  <cols>
    <col min="1" max="2" width="3.75" style="1" customWidth="1"/>
    <col min="3" max="3" width="12.5" style="1" customWidth="1"/>
    <col min="4" max="4" width="4.375" style="1" customWidth="1"/>
    <col min="5" max="7" width="10" style="1" customWidth="1"/>
    <col min="8" max="8" width="12.5" style="1" customWidth="1"/>
    <col min="9" max="9" width="26.125" style="1" customWidth="1"/>
    <col min="10" max="11" width="3.75" style="1" customWidth="1"/>
    <col min="12" max="12" width="16.125" style="1" customWidth="1"/>
    <col min="13" max="13" width="11.375" style="1" customWidth="1"/>
    <col min="14" max="14" width="20" style="1" bestFit="1" customWidth="1"/>
    <col min="15" max="16384" width="9" style="1"/>
  </cols>
  <sheetData>
    <row r="1" spans="1:10" ht="7.5" customHeight="1" thickBot="1" x14ac:dyDescent="0.2"/>
    <row r="2" spans="1:10" ht="21.75" customHeight="1" thickTop="1" thickBot="1" x14ac:dyDescent="0.2">
      <c r="E2" s="268" t="s">
        <v>51</v>
      </c>
      <c r="F2" s="269"/>
      <c r="G2" s="269"/>
      <c r="H2" s="270"/>
    </row>
    <row r="3" spans="1:10" ht="7.5" customHeight="1" thickTop="1" thickBot="1" x14ac:dyDescent="0.2">
      <c r="D3" s="62"/>
      <c r="E3" s="62"/>
      <c r="F3" s="62"/>
      <c r="G3" s="62"/>
      <c r="H3" s="62"/>
    </row>
    <row r="4" spans="1:10" s="102" customFormat="1" ht="15" customHeight="1" x14ac:dyDescent="0.15">
      <c r="B4" s="103"/>
      <c r="C4" s="104" t="s">
        <v>89</v>
      </c>
      <c r="D4" s="105"/>
      <c r="E4" s="106"/>
      <c r="F4" s="106"/>
      <c r="G4" s="106"/>
      <c r="H4" s="107" t="s">
        <v>90</v>
      </c>
      <c r="I4" s="108" t="s">
        <v>133</v>
      </c>
    </row>
    <row r="5" spans="1:10" s="102" customFormat="1" ht="15" customHeight="1" x14ac:dyDescent="0.15">
      <c r="C5" s="104"/>
      <c r="D5" s="106"/>
      <c r="E5" s="106"/>
      <c r="F5" s="106"/>
      <c r="G5" s="106"/>
      <c r="H5" s="109" t="s">
        <v>129</v>
      </c>
      <c r="I5" s="110" t="s">
        <v>139</v>
      </c>
    </row>
    <row r="6" spans="1:10" s="102" customFormat="1" ht="15" customHeight="1" x14ac:dyDescent="0.15">
      <c r="B6" s="111"/>
      <c r="C6" s="104" t="s">
        <v>91</v>
      </c>
      <c r="D6" s="106"/>
      <c r="E6" s="106"/>
      <c r="F6" s="106"/>
      <c r="G6" s="106"/>
      <c r="H6" s="109" t="s">
        <v>11</v>
      </c>
      <c r="I6" s="112" t="s">
        <v>80</v>
      </c>
    </row>
    <row r="7" spans="1:10" s="102" customFormat="1" ht="15" customHeight="1" x14ac:dyDescent="0.15">
      <c r="C7" s="104"/>
      <c r="H7" s="109" t="s">
        <v>52</v>
      </c>
      <c r="I7" s="113">
        <v>46036</v>
      </c>
    </row>
    <row r="8" spans="1:10" s="102" customFormat="1" ht="15" customHeight="1" x14ac:dyDescent="0.15">
      <c r="B8" s="114"/>
      <c r="C8" s="104" t="s">
        <v>92</v>
      </c>
      <c r="H8" s="109" t="s">
        <v>53</v>
      </c>
      <c r="I8" s="113">
        <v>46058</v>
      </c>
    </row>
    <row r="9" spans="1:10" s="102" customFormat="1" ht="15" customHeight="1" x14ac:dyDescent="0.15">
      <c r="C9" s="104"/>
      <c r="H9" s="109" t="s">
        <v>54</v>
      </c>
      <c r="I9" s="113">
        <v>46080</v>
      </c>
    </row>
    <row r="10" spans="1:10" s="102" customFormat="1" ht="15" customHeight="1" x14ac:dyDescent="0.15">
      <c r="A10" s="115"/>
      <c r="B10" s="116"/>
      <c r="C10" s="105" t="s">
        <v>93</v>
      </c>
      <c r="D10" s="115"/>
      <c r="E10" s="117"/>
      <c r="H10" s="109" t="s">
        <v>122</v>
      </c>
      <c r="I10" s="113"/>
    </row>
    <row r="11" spans="1:10" s="102" customFormat="1" ht="15" customHeight="1" x14ac:dyDescent="0.15">
      <c r="A11" s="115"/>
      <c r="B11" s="115"/>
      <c r="C11" s="115"/>
      <c r="D11" s="115"/>
      <c r="E11" s="117"/>
      <c r="H11" s="109" t="s">
        <v>123</v>
      </c>
      <c r="I11" s="110" t="s">
        <v>140</v>
      </c>
    </row>
    <row r="12" spans="1:10" s="102" customFormat="1" ht="15" customHeight="1" thickBot="1" x14ac:dyDescent="0.2">
      <c r="B12" s="105"/>
      <c r="C12" s="118"/>
      <c r="D12" s="118"/>
      <c r="H12" s="119" t="s">
        <v>94</v>
      </c>
      <c r="I12" s="120">
        <f>H65</f>
        <v>133870</v>
      </c>
    </row>
    <row r="13" spans="1:10" ht="13.5" customHeight="1" x14ac:dyDescent="0.15">
      <c r="A13" s="284" t="s">
        <v>35</v>
      </c>
      <c r="B13" s="285"/>
      <c r="C13" s="285"/>
      <c r="D13" s="286"/>
      <c r="E13" s="278" t="s">
        <v>141</v>
      </c>
      <c r="F13" s="279"/>
      <c r="G13" s="279"/>
      <c r="H13" s="279"/>
      <c r="I13" s="280"/>
      <c r="J13" s="85"/>
    </row>
    <row r="14" spans="1:10" ht="13.5" customHeight="1" x14ac:dyDescent="0.15">
      <c r="A14" s="295" t="s">
        <v>119</v>
      </c>
      <c r="B14" s="296"/>
      <c r="C14" s="296"/>
      <c r="D14" s="297"/>
      <c r="E14" s="281" t="s">
        <v>142</v>
      </c>
      <c r="F14" s="282"/>
      <c r="G14" s="282"/>
      <c r="H14" s="282"/>
      <c r="I14" s="283"/>
      <c r="J14" s="85"/>
    </row>
    <row r="15" spans="1:10" ht="13.5" customHeight="1" thickBot="1" x14ac:dyDescent="0.2">
      <c r="A15" s="298" t="s">
        <v>34</v>
      </c>
      <c r="B15" s="299"/>
      <c r="C15" s="299"/>
      <c r="D15" s="300"/>
      <c r="E15" s="127" t="s">
        <v>36</v>
      </c>
      <c r="F15" s="127" t="s">
        <v>37</v>
      </c>
      <c r="G15" s="127" t="s">
        <v>4</v>
      </c>
      <c r="H15" s="128" t="s">
        <v>38</v>
      </c>
      <c r="I15" s="129" t="s">
        <v>39</v>
      </c>
      <c r="J15" s="86"/>
    </row>
    <row r="16" spans="1:10" ht="13.5" customHeight="1" x14ac:dyDescent="0.15">
      <c r="A16" s="237" t="s">
        <v>40</v>
      </c>
      <c r="B16" s="289" t="s">
        <v>62</v>
      </c>
      <c r="C16" s="123" t="s">
        <v>0</v>
      </c>
      <c r="D16" s="121"/>
      <c r="E16" s="77">
        <v>3</v>
      </c>
      <c r="F16" s="135">
        <v>1100</v>
      </c>
      <c r="G16" s="5">
        <v>100</v>
      </c>
      <c r="H16" s="135">
        <f>IF(E16="","",E16*F16*G16/100)</f>
        <v>3300</v>
      </c>
      <c r="I16" s="63"/>
      <c r="J16" s="85"/>
    </row>
    <row r="17" spans="1:14" ht="13.5" customHeight="1" x14ac:dyDescent="0.15">
      <c r="A17" s="238"/>
      <c r="B17" s="290"/>
      <c r="C17" s="124" t="s">
        <v>1</v>
      </c>
      <c r="D17" s="122"/>
      <c r="E17" s="76">
        <v>1</v>
      </c>
      <c r="F17" s="136">
        <v>1100</v>
      </c>
      <c r="G17" s="6">
        <v>100</v>
      </c>
      <c r="H17" s="136">
        <f t="shared" ref="H17:H22" si="0">IF(E17="","",E17*F17*G17/100)</f>
        <v>1100</v>
      </c>
      <c r="I17" s="64"/>
      <c r="J17" s="85"/>
    </row>
    <row r="18" spans="1:14" ht="13.5" customHeight="1" x14ac:dyDescent="0.15">
      <c r="A18" s="238"/>
      <c r="B18" s="290"/>
      <c r="C18" s="124" t="s">
        <v>2</v>
      </c>
      <c r="D18" s="122"/>
      <c r="E18" s="75">
        <v>3</v>
      </c>
      <c r="F18" s="136">
        <v>1100</v>
      </c>
      <c r="G18" s="6">
        <v>100</v>
      </c>
      <c r="H18" s="136">
        <f t="shared" si="0"/>
        <v>3300</v>
      </c>
      <c r="I18" s="64"/>
      <c r="J18" s="85"/>
    </row>
    <row r="19" spans="1:14" ht="13.5" customHeight="1" x14ac:dyDescent="0.15">
      <c r="A19" s="238"/>
      <c r="B19" s="291"/>
      <c r="C19" s="124" t="s">
        <v>3</v>
      </c>
      <c r="D19" s="122"/>
      <c r="E19" s="9">
        <v>1</v>
      </c>
      <c r="F19" s="136">
        <v>6000</v>
      </c>
      <c r="G19" s="6">
        <v>100</v>
      </c>
      <c r="H19" s="136">
        <f t="shared" si="0"/>
        <v>6000</v>
      </c>
      <c r="I19" s="64"/>
      <c r="J19" s="85"/>
    </row>
    <row r="20" spans="1:14" ht="13.5" customHeight="1" x14ac:dyDescent="0.15">
      <c r="A20" s="238"/>
      <c r="B20" s="292" t="s">
        <v>79</v>
      </c>
      <c r="C20" s="124" t="s">
        <v>57</v>
      </c>
      <c r="D20" s="122"/>
      <c r="E20" s="78"/>
      <c r="F20" s="136">
        <v>8000</v>
      </c>
      <c r="G20" s="6">
        <v>100</v>
      </c>
      <c r="H20" s="136" t="str">
        <f t="shared" si="0"/>
        <v/>
      </c>
      <c r="I20" s="64" t="s">
        <v>83</v>
      </c>
      <c r="J20" s="85"/>
    </row>
    <row r="21" spans="1:14" ht="13.5" customHeight="1" x14ac:dyDescent="0.15">
      <c r="A21" s="238"/>
      <c r="B21" s="293"/>
      <c r="C21" s="124" t="s">
        <v>58</v>
      </c>
      <c r="D21" s="122"/>
      <c r="E21" s="8"/>
      <c r="F21" s="136">
        <v>10000</v>
      </c>
      <c r="G21" s="6">
        <v>100</v>
      </c>
      <c r="H21" s="136" t="str">
        <f t="shared" si="0"/>
        <v/>
      </c>
      <c r="I21" s="64" t="s">
        <v>83</v>
      </c>
      <c r="J21" s="85"/>
    </row>
    <row r="22" spans="1:14" ht="13.5" customHeight="1" x14ac:dyDescent="0.15">
      <c r="A22" s="238"/>
      <c r="B22" s="294"/>
      <c r="C22" s="124" t="s">
        <v>121</v>
      </c>
      <c r="D22" s="122"/>
      <c r="E22" s="8"/>
      <c r="F22" s="136">
        <v>15000</v>
      </c>
      <c r="G22" s="6">
        <v>100</v>
      </c>
      <c r="H22" s="136" t="str">
        <f t="shared" si="0"/>
        <v/>
      </c>
      <c r="I22" s="64" t="s">
        <v>83</v>
      </c>
      <c r="J22" s="85"/>
    </row>
    <row r="23" spans="1:14" ht="13.5" customHeight="1" thickBot="1" x14ac:dyDescent="0.2">
      <c r="A23" s="239"/>
      <c r="B23" s="125"/>
      <c r="C23" s="126"/>
      <c r="D23" s="126"/>
      <c r="E23" s="131"/>
      <c r="F23" s="134"/>
      <c r="G23" s="132" t="s">
        <v>43</v>
      </c>
      <c r="H23" s="133">
        <f>SUM(H16:H22)</f>
        <v>13700</v>
      </c>
      <c r="I23" s="65"/>
      <c r="J23" s="85"/>
    </row>
    <row r="24" spans="1:14" ht="13.5" customHeight="1" thickBot="1" x14ac:dyDescent="0.2">
      <c r="A24" s="237" t="s">
        <v>6</v>
      </c>
      <c r="B24" s="287" t="s">
        <v>5</v>
      </c>
      <c r="C24" s="288"/>
      <c r="D24" s="168">
        <v>3</v>
      </c>
      <c r="E24" s="100">
        <v>110</v>
      </c>
      <c r="F24" s="135">
        <f>IF(D24="","",VLOOKUP(D24,$K$25:$M$34,3))</f>
        <v>40000</v>
      </c>
      <c r="G24" s="7">
        <v>100</v>
      </c>
      <c r="H24" s="135">
        <f>IF(D24="","",F24*G24/100)</f>
        <v>40000</v>
      </c>
      <c r="I24" s="66"/>
      <c r="J24" s="85"/>
      <c r="K24" s="275" t="s">
        <v>78</v>
      </c>
      <c r="L24" s="276"/>
      <c r="M24" s="277"/>
      <c r="N24" s="82"/>
    </row>
    <row r="25" spans="1:14" ht="13.5" customHeight="1" x14ac:dyDescent="0.15">
      <c r="A25" s="238"/>
      <c r="B25" s="248"/>
      <c r="C25" s="249"/>
      <c r="D25" s="169"/>
      <c r="E25" s="101"/>
      <c r="F25" s="136" t="str">
        <f>IF(D25="","",VLOOKUP(D25,$K$25:$M$34,3))</f>
        <v/>
      </c>
      <c r="G25" s="6">
        <v>100</v>
      </c>
      <c r="H25" s="136" t="str">
        <f>IF(D25="","",F25*G25/100)</f>
        <v/>
      </c>
      <c r="I25" s="64"/>
      <c r="J25" s="85"/>
      <c r="K25" s="174">
        <v>1</v>
      </c>
      <c r="L25" s="175" t="s">
        <v>73</v>
      </c>
      <c r="M25" s="176">
        <v>25000</v>
      </c>
      <c r="N25" s="90"/>
    </row>
    <row r="26" spans="1:14" ht="13.5" customHeight="1" x14ac:dyDescent="0.15">
      <c r="A26" s="238"/>
      <c r="B26" s="248"/>
      <c r="C26" s="249"/>
      <c r="D26" s="169"/>
      <c r="E26" s="101"/>
      <c r="F26" s="136" t="str">
        <f>IF(D26="","",VLOOKUP(D26,$K$25:$M$34,3))</f>
        <v/>
      </c>
      <c r="G26" s="6">
        <v>100</v>
      </c>
      <c r="H26" s="136" t="str">
        <f>IF(D26="","",F26*G26/100)</f>
        <v/>
      </c>
      <c r="I26" s="64"/>
      <c r="J26" s="85"/>
      <c r="K26" s="177">
        <v>2</v>
      </c>
      <c r="L26" s="178" t="s">
        <v>67</v>
      </c>
      <c r="M26" s="179">
        <v>32000</v>
      </c>
      <c r="N26" s="90"/>
    </row>
    <row r="27" spans="1:14" ht="13.5" customHeight="1" x14ac:dyDescent="0.15">
      <c r="A27" s="238"/>
      <c r="B27" s="248"/>
      <c r="C27" s="249"/>
      <c r="D27" s="169"/>
      <c r="E27" s="101"/>
      <c r="F27" s="136" t="str">
        <f>IF(D27="","",VLOOKUP(D27,$K$25:$M$34,3))</f>
        <v/>
      </c>
      <c r="G27" s="6">
        <v>100</v>
      </c>
      <c r="H27" s="136" t="str">
        <f>IF(D27="","",F27*G27/100)</f>
        <v/>
      </c>
      <c r="I27" s="64"/>
      <c r="J27" s="85"/>
      <c r="K27" s="177">
        <v>3</v>
      </c>
      <c r="L27" s="178" t="s">
        <v>68</v>
      </c>
      <c r="M27" s="179">
        <v>40000</v>
      </c>
      <c r="N27" s="90"/>
    </row>
    <row r="28" spans="1:14" ht="13.5" customHeight="1" thickBot="1" x14ac:dyDescent="0.2">
      <c r="A28" s="239"/>
      <c r="B28" s="130"/>
      <c r="C28" s="126"/>
      <c r="D28" s="126"/>
      <c r="E28" s="131"/>
      <c r="F28" s="131"/>
      <c r="G28" s="132" t="s">
        <v>43</v>
      </c>
      <c r="H28" s="133">
        <f>SUM(H24:H27)</f>
        <v>40000</v>
      </c>
      <c r="I28" s="65"/>
      <c r="J28" s="85"/>
      <c r="K28" s="177">
        <v>4</v>
      </c>
      <c r="L28" s="178" t="s">
        <v>69</v>
      </c>
      <c r="M28" s="179">
        <v>48000</v>
      </c>
      <c r="N28" s="90"/>
    </row>
    <row r="29" spans="1:14" ht="13.5" customHeight="1" x14ac:dyDescent="0.15">
      <c r="A29" s="237" t="s">
        <v>7</v>
      </c>
      <c r="B29" s="250" t="s">
        <v>25</v>
      </c>
      <c r="C29" s="251"/>
      <c r="D29" s="144" t="s">
        <v>23</v>
      </c>
      <c r="E29" s="10">
        <v>1</v>
      </c>
      <c r="F29" s="135">
        <v>25000</v>
      </c>
      <c r="G29" s="271">
        <v>100</v>
      </c>
      <c r="H29" s="264">
        <f>IF(E29+E30+E31=0,"",(E29*F29+E30*F30+E31*F31)*G29/100)</f>
        <v>30000</v>
      </c>
      <c r="I29" s="63" t="s">
        <v>124</v>
      </c>
      <c r="J29" s="85"/>
      <c r="K29" s="177">
        <v>5</v>
      </c>
      <c r="L29" s="178" t="s">
        <v>70</v>
      </c>
      <c r="M29" s="179">
        <v>55000</v>
      </c>
      <c r="N29" s="90"/>
    </row>
    <row r="30" spans="1:14" ht="13.5" customHeight="1" x14ac:dyDescent="0.15">
      <c r="A30" s="238"/>
      <c r="B30" s="252"/>
      <c r="C30" s="253"/>
      <c r="D30" s="145" t="s">
        <v>24</v>
      </c>
      <c r="E30" s="93"/>
      <c r="F30" s="137">
        <v>6000</v>
      </c>
      <c r="G30" s="272"/>
      <c r="H30" s="263"/>
      <c r="I30" s="74" t="s">
        <v>59</v>
      </c>
      <c r="J30" s="85"/>
      <c r="K30" s="177">
        <v>6</v>
      </c>
      <c r="L30" s="178" t="s">
        <v>71</v>
      </c>
      <c r="M30" s="179">
        <v>62000</v>
      </c>
      <c r="N30" s="90"/>
    </row>
    <row r="31" spans="1:14" ht="13.5" customHeight="1" x14ac:dyDescent="0.15">
      <c r="A31" s="238"/>
      <c r="B31" s="254"/>
      <c r="C31" s="255"/>
      <c r="D31" s="145" t="s">
        <v>24</v>
      </c>
      <c r="E31" s="92">
        <v>1</v>
      </c>
      <c r="F31" s="137">
        <v>5000</v>
      </c>
      <c r="G31" s="273"/>
      <c r="H31" s="263"/>
      <c r="I31" s="64" t="s">
        <v>60</v>
      </c>
      <c r="J31" s="85"/>
      <c r="K31" s="177">
        <v>7</v>
      </c>
      <c r="L31" s="178" t="s">
        <v>74</v>
      </c>
      <c r="M31" s="179">
        <v>73000</v>
      </c>
      <c r="N31" s="90"/>
    </row>
    <row r="32" spans="1:14" ht="13.5" customHeight="1" x14ac:dyDescent="0.15">
      <c r="A32" s="238"/>
      <c r="B32" s="265" t="s">
        <v>110</v>
      </c>
      <c r="C32" s="245"/>
      <c r="D32" s="146" t="s">
        <v>23</v>
      </c>
      <c r="E32" s="9"/>
      <c r="F32" s="136">
        <v>25000</v>
      </c>
      <c r="G32" s="274">
        <v>100</v>
      </c>
      <c r="H32" s="263" t="str">
        <f>IF(E32+E33+E34=0,"",(E32*F32+E33*F33+E34*F34)*G32/100)</f>
        <v/>
      </c>
      <c r="I32" s="64" t="s">
        <v>124</v>
      </c>
      <c r="J32" s="85"/>
      <c r="K32" s="180">
        <v>8</v>
      </c>
      <c r="L32" s="181" t="s">
        <v>75</v>
      </c>
      <c r="M32" s="179">
        <v>80000</v>
      </c>
      <c r="N32" s="90"/>
    </row>
    <row r="33" spans="1:14" ht="13.5" customHeight="1" x14ac:dyDescent="0.15">
      <c r="A33" s="238"/>
      <c r="B33" s="246"/>
      <c r="C33" s="247"/>
      <c r="D33" s="146" t="s">
        <v>24</v>
      </c>
      <c r="E33" s="93"/>
      <c r="F33" s="136">
        <v>6000</v>
      </c>
      <c r="G33" s="272"/>
      <c r="H33" s="263"/>
      <c r="I33" s="74" t="s">
        <v>59</v>
      </c>
      <c r="J33" s="85"/>
      <c r="K33" s="180">
        <v>9</v>
      </c>
      <c r="L33" s="181" t="s">
        <v>76</v>
      </c>
      <c r="M33" s="179">
        <v>120000</v>
      </c>
      <c r="N33" s="90"/>
    </row>
    <row r="34" spans="1:14" ht="13.5" customHeight="1" x14ac:dyDescent="0.15">
      <c r="A34" s="238"/>
      <c r="B34" s="266"/>
      <c r="C34" s="267"/>
      <c r="D34" s="146" t="s">
        <v>24</v>
      </c>
      <c r="E34" s="92"/>
      <c r="F34" s="136">
        <v>5000</v>
      </c>
      <c r="G34" s="273"/>
      <c r="H34" s="263"/>
      <c r="I34" s="74" t="s">
        <v>60</v>
      </c>
      <c r="J34" s="85"/>
      <c r="K34" s="177">
        <v>10</v>
      </c>
      <c r="L34" s="178" t="s">
        <v>77</v>
      </c>
      <c r="M34" s="182">
        <v>140000</v>
      </c>
      <c r="N34" s="90"/>
    </row>
    <row r="35" spans="1:14" ht="13.5" customHeight="1" x14ac:dyDescent="0.15">
      <c r="A35" s="238"/>
      <c r="B35" s="244" t="s">
        <v>111</v>
      </c>
      <c r="C35" s="245"/>
      <c r="D35" s="146" t="s">
        <v>23</v>
      </c>
      <c r="E35" s="9"/>
      <c r="F35" s="136">
        <v>20000</v>
      </c>
      <c r="G35" s="274">
        <v>100</v>
      </c>
      <c r="H35" s="256" t="str">
        <f>IF(E35+E36=0,"",(E35*F35+E36*F36)*G35/100)</f>
        <v/>
      </c>
      <c r="I35" s="64" t="s">
        <v>63</v>
      </c>
      <c r="J35" s="88"/>
      <c r="K35" s="177">
        <v>11</v>
      </c>
      <c r="L35" s="183">
        <v>4000</v>
      </c>
      <c r="M35" s="182">
        <v>155000</v>
      </c>
      <c r="N35" s="90"/>
    </row>
    <row r="36" spans="1:14" ht="13.5" customHeight="1" thickBot="1" x14ac:dyDescent="0.2">
      <c r="A36" s="238"/>
      <c r="B36" s="246"/>
      <c r="C36" s="247"/>
      <c r="D36" s="146" t="s">
        <v>24</v>
      </c>
      <c r="E36" s="94"/>
      <c r="F36" s="136">
        <v>1000</v>
      </c>
      <c r="G36" s="273"/>
      <c r="H36" s="256"/>
      <c r="I36" s="64" t="s">
        <v>64</v>
      </c>
      <c r="J36" s="88"/>
      <c r="K36" s="184">
        <v>12</v>
      </c>
      <c r="L36" s="185">
        <v>5000</v>
      </c>
      <c r="M36" s="188">
        <f>ROUNDDOWN(M35+((L36-L35)/1000)*15000,-3)</f>
        <v>170000</v>
      </c>
      <c r="N36" s="1" t="s">
        <v>82</v>
      </c>
    </row>
    <row r="37" spans="1:14" ht="13.5" customHeight="1" x14ac:dyDescent="0.15">
      <c r="A37" s="238"/>
      <c r="B37" s="265" t="s">
        <v>61</v>
      </c>
      <c r="C37" s="245"/>
      <c r="D37" s="146" t="s">
        <v>23</v>
      </c>
      <c r="E37" s="9"/>
      <c r="F37" s="136">
        <v>20000</v>
      </c>
      <c r="G37" s="274">
        <v>100</v>
      </c>
      <c r="H37" s="256" t="str">
        <f>IF(E37+E38=0,"",(E37*F37+E38*F38)*G37/100)</f>
        <v/>
      </c>
      <c r="I37" s="64" t="s">
        <v>63</v>
      </c>
      <c r="J37" s="88"/>
      <c r="K37" s="59" t="s">
        <v>112</v>
      </c>
      <c r="L37" s="83"/>
      <c r="M37" s="84"/>
    </row>
    <row r="38" spans="1:14" ht="13.5" customHeight="1" x14ac:dyDescent="0.15">
      <c r="A38" s="238"/>
      <c r="B38" s="266"/>
      <c r="C38" s="267"/>
      <c r="D38" s="146" t="s">
        <v>24</v>
      </c>
      <c r="E38" s="94"/>
      <c r="F38" s="136">
        <v>1000</v>
      </c>
      <c r="G38" s="273"/>
      <c r="H38" s="256"/>
      <c r="I38" s="64" t="s">
        <v>64</v>
      </c>
      <c r="J38" s="88"/>
      <c r="K38" s="2"/>
      <c r="L38" s="224" t="s">
        <v>113</v>
      </c>
      <c r="M38" s="225" t="s">
        <v>115</v>
      </c>
    </row>
    <row r="39" spans="1:14" ht="13.5" customHeight="1" x14ac:dyDescent="0.15">
      <c r="A39" s="238"/>
      <c r="B39" s="257"/>
      <c r="C39" s="258"/>
      <c r="D39" s="146" t="s">
        <v>23</v>
      </c>
      <c r="E39" s="9"/>
      <c r="F39" s="136">
        <v>15000</v>
      </c>
      <c r="G39" s="274">
        <v>100</v>
      </c>
      <c r="H39" s="263" t="str">
        <f>IF(E39+E40+E41+E42+E43=0,"",(E39*F39+E40*F40+E41*F41+E42*F42+E43*F43)*G39/100)</f>
        <v/>
      </c>
      <c r="I39" s="64"/>
      <c r="J39" s="88"/>
      <c r="K39" s="3"/>
      <c r="L39" s="226" t="s">
        <v>114</v>
      </c>
      <c r="M39" s="227" t="s">
        <v>116</v>
      </c>
    </row>
    <row r="40" spans="1:14" ht="13.5" customHeight="1" x14ac:dyDescent="0.15">
      <c r="A40" s="238"/>
      <c r="B40" s="259"/>
      <c r="C40" s="260"/>
      <c r="D40" s="146" t="s">
        <v>24</v>
      </c>
      <c r="E40" s="79"/>
      <c r="F40" s="136"/>
      <c r="G40" s="272"/>
      <c r="H40" s="263"/>
      <c r="I40" s="64"/>
      <c r="J40" s="88"/>
      <c r="K40" s="2"/>
      <c r="L40" s="224" t="s">
        <v>118</v>
      </c>
      <c r="M40" s="225" t="s">
        <v>117</v>
      </c>
    </row>
    <row r="41" spans="1:14" ht="13.5" customHeight="1" x14ac:dyDescent="0.15">
      <c r="A41" s="238"/>
      <c r="B41" s="259"/>
      <c r="C41" s="260"/>
      <c r="D41" s="146" t="s">
        <v>24</v>
      </c>
      <c r="E41" s="9"/>
      <c r="F41" s="136"/>
      <c r="G41" s="272"/>
      <c r="H41" s="263"/>
      <c r="I41" s="64"/>
      <c r="J41" s="85"/>
      <c r="L41" s="223"/>
    </row>
    <row r="42" spans="1:14" ht="13.5" customHeight="1" x14ac:dyDescent="0.15">
      <c r="A42" s="238"/>
      <c r="B42" s="259"/>
      <c r="C42" s="260"/>
      <c r="D42" s="146" t="s">
        <v>24</v>
      </c>
      <c r="E42" s="9"/>
      <c r="F42" s="136"/>
      <c r="G42" s="272"/>
      <c r="H42" s="263"/>
      <c r="I42" s="64"/>
      <c r="J42" s="85"/>
      <c r="L42" s="2"/>
    </row>
    <row r="43" spans="1:14" ht="13.5" customHeight="1" x14ac:dyDescent="0.15">
      <c r="A43" s="238"/>
      <c r="B43" s="261"/>
      <c r="C43" s="262"/>
      <c r="D43" s="146" t="s">
        <v>24</v>
      </c>
      <c r="E43" s="79"/>
      <c r="F43" s="136"/>
      <c r="G43" s="273"/>
      <c r="H43" s="263"/>
      <c r="I43" s="64"/>
      <c r="J43" s="85"/>
    </row>
    <row r="44" spans="1:14" ht="13.5" customHeight="1" x14ac:dyDescent="0.15">
      <c r="A44" s="238"/>
      <c r="B44" s="248" t="s">
        <v>84</v>
      </c>
      <c r="C44" s="249"/>
      <c r="D44" s="122"/>
      <c r="E44" s="91">
        <v>1</v>
      </c>
      <c r="F44" s="136">
        <v>18000</v>
      </c>
      <c r="G44" s="6">
        <v>100</v>
      </c>
      <c r="H44" s="136">
        <f>IF(E44="","",E44*F44*G44/100)</f>
        <v>18000</v>
      </c>
      <c r="I44" s="64"/>
      <c r="J44" s="85"/>
    </row>
    <row r="45" spans="1:14" ht="13.5" customHeight="1" thickBot="1" x14ac:dyDescent="0.2">
      <c r="A45" s="239"/>
      <c r="B45" s="130"/>
      <c r="C45" s="126"/>
      <c r="D45" s="126"/>
      <c r="E45" s="131"/>
      <c r="F45" s="134"/>
      <c r="G45" s="132" t="s">
        <v>43</v>
      </c>
      <c r="H45" s="133">
        <f>SUM(H29:H44)</f>
        <v>48000</v>
      </c>
      <c r="I45" s="65"/>
      <c r="J45" s="85"/>
      <c r="N45" s="3"/>
    </row>
    <row r="46" spans="1:14" ht="13.5" customHeight="1" thickBot="1" x14ac:dyDescent="0.2">
      <c r="A46" s="237" t="s">
        <v>32</v>
      </c>
      <c r="B46" s="242" t="str">
        <f>IF(D46="","",VLOOKUP(D46,$K$47:$M$56,2))</f>
        <v>調査報告書</v>
      </c>
      <c r="C46" s="243"/>
      <c r="D46" s="170">
        <v>1</v>
      </c>
      <c r="E46" s="11">
        <v>1</v>
      </c>
      <c r="F46" s="135">
        <f>IF(D46="","",VLOOKUP(D46,$K$47:$M$56,3))</f>
        <v>6000</v>
      </c>
      <c r="G46" s="172">
        <v>100</v>
      </c>
      <c r="H46" s="136">
        <f>IF(E46="","",E46*F46*G46/100)</f>
        <v>6000</v>
      </c>
      <c r="I46" s="63"/>
      <c r="J46" s="85"/>
      <c r="K46" s="275" t="s">
        <v>72</v>
      </c>
      <c r="L46" s="276"/>
      <c r="M46" s="277"/>
      <c r="N46" s="89"/>
    </row>
    <row r="47" spans="1:14" ht="13.5" customHeight="1" x14ac:dyDescent="0.15">
      <c r="A47" s="238"/>
      <c r="B47" s="240" t="str">
        <f>IF(D47="","",VLOOKUP(D47,$K$47:$M$56,2))</f>
        <v>原本の複製</v>
      </c>
      <c r="C47" s="241"/>
      <c r="D47" s="171">
        <v>2</v>
      </c>
      <c r="E47" s="12">
        <v>4</v>
      </c>
      <c r="F47" s="136">
        <f>IF(D47="","",VLOOKUP(D47,$K$47:$M$56,3))</f>
        <v>1000</v>
      </c>
      <c r="G47" s="173">
        <v>100</v>
      </c>
      <c r="H47" s="136">
        <f>IF(E47="","",E47*F47*G47/100)</f>
        <v>4000</v>
      </c>
      <c r="I47" s="64"/>
      <c r="J47" s="85"/>
      <c r="K47" s="177">
        <v>1</v>
      </c>
      <c r="L47" s="186" t="s">
        <v>85</v>
      </c>
      <c r="M47" s="182">
        <v>6000</v>
      </c>
      <c r="N47" s="89"/>
    </row>
    <row r="48" spans="1:14" ht="13.5" customHeight="1" x14ac:dyDescent="0.15">
      <c r="A48" s="238"/>
      <c r="B48" s="240" t="str">
        <f>IF(D48="","",VLOOKUP(D48,$K$47:$M$56,2))</f>
        <v>工事完了引渡証明</v>
      </c>
      <c r="C48" s="241"/>
      <c r="D48" s="171">
        <v>4</v>
      </c>
      <c r="E48" s="12">
        <v>1</v>
      </c>
      <c r="F48" s="136">
        <f>IF(D48="","",VLOOKUP(D48,$K$47:$M$56,3))</f>
        <v>5000</v>
      </c>
      <c r="G48" s="173">
        <v>100</v>
      </c>
      <c r="H48" s="136">
        <f>IF(E48="","",E48*F48*G48/100)</f>
        <v>5000</v>
      </c>
      <c r="I48" s="64"/>
      <c r="J48" s="85"/>
      <c r="K48" s="177">
        <v>2</v>
      </c>
      <c r="L48" s="186" t="s">
        <v>88</v>
      </c>
      <c r="M48" s="182">
        <v>1000</v>
      </c>
      <c r="N48" s="89"/>
    </row>
    <row r="49" spans="1:14" ht="13.5" customHeight="1" x14ac:dyDescent="0.15">
      <c r="A49" s="238"/>
      <c r="B49" s="240" t="str">
        <f>IF(D49="","",VLOOKUP(D49,$K$47:$M$56,2))</f>
        <v>申述書</v>
      </c>
      <c r="C49" s="241"/>
      <c r="D49" s="171">
        <v>6</v>
      </c>
      <c r="E49" s="12">
        <v>1</v>
      </c>
      <c r="F49" s="136">
        <f>IF(D49="","",VLOOKUP(D49,$K$47:$M$56,3))</f>
        <v>5000</v>
      </c>
      <c r="G49" s="173">
        <v>100</v>
      </c>
      <c r="H49" s="136">
        <f>IF(E49="","",E49*F49*G49/100)</f>
        <v>5000</v>
      </c>
      <c r="I49" s="64"/>
      <c r="J49" s="85"/>
      <c r="K49" s="177">
        <v>3</v>
      </c>
      <c r="L49" s="186" t="s">
        <v>87</v>
      </c>
      <c r="M49" s="182">
        <v>1000</v>
      </c>
      <c r="N49" s="89"/>
    </row>
    <row r="50" spans="1:14" ht="13.5" customHeight="1" x14ac:dyDescent="0.15">
      <c r="A50" s="238"/>
      <c r="B50" s="240" t="str">
        <f>IF(D50="","",VLOOKUP(D50,$K$47:$M$56,2))</f>
        <v/>
      </c>
      <c r="C50" s="241"/>
      <c r="D50" s="171"/>
      <c r="E50" s="12"/>
      <c r="F50" s="136" t="str">
        <f>IF(D50="","",VLOOKUP(D50,$K$47:$M$56,3))</f>
        <v/>
      </c>
      <c r="G50" s="173">
        <v>100</v>
      </c>
      <c r="H50" s="136" t="str">
        <f>IF(E50="","",E50*F50*G50/100)</f>
        <v/>
      </c>
      <c r="I50" s="64"/>
      <c r="J50" s="85"/>
      <c r="K50" s="177">
        <v>4</v>
      </c>
      <c r="L50" s="186" t="s">
        <v>86</v>
      </c>
      <c r="M50" s="182">
        <v>5000</v>
      </c>
      <c r="N50" s="89"/>
    </row>
    <row r="51" spans="1:14" ht="13.5" customHeight="1" thickBot="1" x14ac:dyDescent="0.2">
      <c r="A51" s="239"/>
      <c r="B51" s="130"/>
      <c r="C51" s="126"/>
      <c r="D51" s="126"/>
      <c r="E51" s="131"/>
      <c r="F51" s="131"/>
      <c r="G51" s="132" t="s">
        <v>43</v>
      </c>
      <c r="H51" s="133">
        <f>SUM(H46:H50)</f>
        <v>20000</v>
      </c>
      <c r="I51" s="65"/>
      <c r="J51" s="85"/>
      <c r="K51" s="177">
        <v>5</v>
      </c>
      <c r="L51" s="186" t="s">
        <v>65</v>
      </c>
      <c r="M51" s="182">
        <v>5000</v>
      </c>
      <c r="N51" s="89"/>
    </row>
    <row r="52" spans="1:14" ht="13.5" customHeight="1" thickBot="1" x14ac:dyDescent="0.2">
      <c r="A52" s="156"/>
      <c r="B52" s="157"/>
      <c r="C52" s="158" t="s">
        <v>33</v>
      </c>
      <c r="D52" s="166"/>
      <c r="E52" s="14"/>
      <c r="F52" s="138">
        <v>200</v>
      </c>
      <c r="G52" s="151"/>
      <c r="H52" s="147">
        <f>E52*F52</f>
        <v>0</v>
      </c>
      <c r="I52" s="67"/>
      <c r="J52" s="87"/>
      <c r="K52" s="177">
        <v>6</v>
      </c>
      <c r="L52" s="186" t="s">
        <v>66</v>
      </c>
      <c r="M52" s="182">
        <v>5000</v>
      </c>
      <c r="N52" s="89"/>
    </row>
    <row r="53" spans="1:14" ht="13.5" customHeight="1" thickBot="1" x14ac:dyDescent="0.2">
      <c r="A53" s="156"/>
      <c r="B53" s="157"/>
      <c r="C53" s="158"/>
      <c r="D53" s="158"/>
      <c r="E53" s="139"/>
      <c r="F53" s="139"/>
      <c r="G53" s="152" t="s">
        <v>42</v>
      </c>
      <c r="H53" s="147">
        <f>H23+H28+H45+H51+H52</f>
        <v>121700</v>
      </c>
      <c r="I53" s="68"/>
      <c r="J53" s="85"/>
      <c r="K53" s="177">
        <v>7</v>
      </c>
      <c r="L53" s="186" t="s">
        <v>102</v>
      </c>
      <c r="M53" s="182">
        <v>5000</v>
      </c>
      <c r="N53" s="89"/>
    </row>
    <row r="54" spans="1:14" ht="13.5" customHeight="1" thickBot="1" x14ac:dyDescent="0.2">
      <c r="A54" s="159"/>
      <c r="B54" s="160"/>
      <c r="C54" s="161"/>
      <c r="D54" s="161"/>
      <c r="E54" s="140"/>
      <c r="F54" s="140"/>
      <c r="G54" s="153" t="s">
        <v>41</v>
      </c>
      <c r="H54" s="13"/>
      <c r="I54" s="69"/>
      <c r="J54" s="85"/>
      <c r="K54" s="177">
        <v>8</v>
      </c>
      <c r="L54" s="186" t="s">
        <v>101</v>
      </c>
      <c r="M54" s="182">
        <v>5000</v>
      </c>
      <c r="N54" s="89"/>
    </row>
    <row r="55" spans="1:14" ht="13.5" customHeight="1" x14ac:dyDescent="0.15">
      <c r="A55" s="162" t="s">
        <v>95</v>
      </c>
      <c r="B55" s="154"/>
      <c r="C55" s="123" t="s">
        <v>45</v>
      </c>
      <c r="D55" s="123"/>
      <c r="E55" s="141"/>
      <c r="F55" s="141"/>
      <c r="G55" s="154"/>
      <c r="H55" s="148">
        <f>H53+H54</f>
        <v>121700</v>
      </c>
      <c r="I55" s="63"/>
      <c r="J55" s="85"/>
      <c r="K55" s="177">
        <v>9</v>
      </c>
      <c r="L55" s="186" t="s">
        <v>132</v>
      </c>
      <c r="M55" s="182">
        <v>3000</v>
      </c>
      <c r="N55" s="89"/>
    </row>
    <row r="56" spans="1:14" ht="13.5" customHeight="1" thickBot="1" x14ac:dyDescent="0.2">
      <c r="A56" s="163" t="s">
        <v>96</v>
      </c>
      <c r="B56" s="155"/>
      <c r="C56" s="124" t="s">
        <v>9</v>
      </c>
      <c r="D56" s="124"/>
      <c r="E56" s="142" t="s">
        <v>131</v>
      </c>
      <c r="F56" s="142"/>
      <c r="G56" s="155"/>
      <c r="H56" s="149">
        <f>ROUNDDOWN(H55*0.1,0)</f>
        <v>12170</v>
      </c>
      <c r="I56" s="64"/>
      <c r="J56" s="85"/>
      <c r="K56" s="184">
        <v>10</v>
      </c>
      <c r="L56" s="187"/>
      <c r="M56" s="188"/>
      <c r="N56" s="89"/>
    </row>
    <row r="57" spans="1:14" ht="13.5" customHeight="1" x14ac:dyDescent="0.15">
      <c r="A57" s="163" t="s">
        <v>19</v>
      </c>
      <c r="B57" s="155"/>
      <c r="C57" s="124" t="s">
        <v>103</v>
      </c>
      <c r="D57" s="124"/>
      <c r="E57" s="142" t="s">
        <v>98</v>
      </c>
      <c r="F57" s="142"/>
      <c r="G57" s="155"/>
      <c r="H57" s="149">
        <f>H55+H56</f>
        <v>133870</v>
      </c>
      <c r="I57" s="64"/>
      <c r="J57" s="85"/>
    </row>
    <row r="58" spans="1:14" ht="13.5" customHeight="1" x14ac:dyDescent="0.15">
      <c r="A58" s="163" t="s">
        <v>97</v>
      </c>
      <c r="B58" s="155"/>
      <c r="C58" s="124" t="s">
        <v>11</v>
      </c>
      <c r="D58" s="167" t="str">
        <f>IF(I6="なし","","   （①－10,000）×10.21％")</f>
        <v/>
      </c>
      <c r="E58" s="142"/>
      <c r="F58" s="142"/>
      <c r="G58" s="155"/>
      <c r="H58" s="149" t="str">
        <f>IF(I6="なし","　　　　―",ROUNDDOWN((H55-10000)*0.1021,0))</f>
        <v>　　　　―</v>
      </c>
      <c r="I58" s="64"/>
      <c r="J58" s="85"/>
    </row>
    <row r="59" spans="1:14" ht="13.5" customHeight="1" x14ac:dyDescent="0.15">
      <c r="A59" s="163" t="s">
        <v>27</v>
      </c>
      <c r="B59" s="155"/>
      <c r="C59" s="124" t="s">
        <v>104</v>
      </c>
      <c r="D59" s="124"/>
      <c r="E59" s="142" t="s">
        <v>99</v>
      </c>
      <c r="F59" s="142"/>
      <c r="G59" s="155"/>
      <c r="H59" s="149">
        <f>IF(I6="なし",H57,H57-H58)</f>
        <v>133870</v>
      </c>
      <c r="I59" s="64"/>
      <c r="J59" s="85"/>
    </row>
    <row r="60" spans="1:14" ht="13.5" customHeight="1" x14ac:dyDescent="0.15">
      <c r="A60" s="236" t="s">
        <v>28</v>
      </c>
      <c r="B60" s="155"/>
      <c r="C60" s="124" t="s">
        <v>13</v>
      </c>
      <c r="D60" s="124"/>
      <c r="E60" s="142"/>
      <c r="F60" s="142"/>
      <c r="G60" s="155"/>
      <c r="H60" s="15"/>
      <c r="I60" s="64"/>
      <c r="J60" s="85"/>
    </row>
    <row r="61" spans="1:14" ht="13.5" customHeight="1" thickBot="1" x14ac:dyDescent="0.2">
      <c r="A61" s="236"/>
      <c r="B61" s="155"/>
      <c r="C61" s="124" t="s">
        <v>14</v>
      </c>
      <c r="D61" s="124"/>
      <c r="E61" s="142"/>
      <c r="F61" s="142"/>
      <c r="G61" s="155"/>
      <c r="H61" s="15"/>
      <c r="I61" s="64"/>
      <c r="J61" s="85"/>
    </row>
    <row r="62" spans="1:14" ht="13.5" customHeight="1" x14ac:dyDescent="0.15">
      <c r="A62" s="236"/>
      <c r="B62" s="155"/>
      <c r="C62" s="124" t="s">
        <v>10</v>
      </c>
      <c r="D62" s="124"/>
      <c r="E62" s="142"/>
      <c r="F62" s="142"/>
      <c r="G62" s="155"/>
      <c r="H62" s="149">
        <f>SUM(H60:H61)</f>
        <v>0</v>
      </c>
      <c r="I62" s="64"/>
      <c r="J62" s="85"/>
      <c r="L62" s="228" t="s">
        <v>125</v>
      </c>
      <c r="M62" s="229">
        <v>550</v>
      </c>
    </row>
    <row r="63" spans="1:14" ht="13.5" customHeight="1" x14ac:dyDescent="0.15">
      <c r="A63" s="163" t="s">
        <v>29</v>
      </c>
      <c r="B63" s="155"/>
      <c r="C63" s="124" t="s">
        <v>16</v>
      </c>
      <c r="D63" s="124"/>
      <c r="E63" s="142" t="s">
        <v>100</v>
      </c>
      <c r="F63" s="142"/>
      <c r="G63" s="155"/>
      <c r="H63" s="149">
        <f>H59+H62</f>
        <v>133870</v>
      </c>
      <c r="I63" s="64"/>
      <c r="J63" s="85"/>
      <c r="L63" s="230" t="s">
        <v>126</v>
      </c>
      <c r="M63" s="231">
        <v>500</v>
      </c>
    </row>
    <row r="64" spans="1:14" ht="13.5" customHeight="1" x14ac:dyDescent="0.15">
      <c r="A64" s="163" t="s">
        <v>30</v>
      </c>
      <c r="B64" s="155"/>
      <c r="C64" s="124" t="s">
        <v>17</v>
      </c>
      <c r="D64" s="124"/>
      <c r="E64" s="142"/>
      <c r="F64" s="142"/>
      <c r="G64" s="155"/>
      <c r="H64" s="149">
        <v>0</v>
      </c>
      <c r="I64" s="64"/>
      <c r="J64" s="85"/>
      <c r="L64" s="230" t="s">
        <v>127</v>
      </c>
      <c r="M64" s="231">
        <v>500</v>
      </c>
    </row>
    <row r="65" spans="1:13" ht="13.5" customHeight="1" thickBot="1" x14ac:dyDescent="0.2">
      <c r="A65" s="164" t="s">
        <v>31</v>
      </c>
      <c r="B65" s="130"/>
      <c r="C65" s="165" t="s">
        <v>18</v>
      </c>
      <c r="D65" s="165"/>
      <c r="E65" s="143" t="s">
        <v>55</v>
      </c>
      <c r="F65" s="143"/>
      <c r="G65" s="130"/>
      <c r="H65" s="150">
        <f>H63-H64</f>
        <v>133870</v>
      </c>
      <c r="I65" s="65"/>
      <c r="J65" s="85"/>
      <c r="L65" s="232" t="s">
        <v>128</v>
      </c>
      <c r="M65" s="233">
        <v>397</v>
      </c>
    </row>
    <row r="66" spans="1:13" ht="15" customHeight="1" x14ac:dyDescent="0.15">
      <c r="A66" s="3"/>
    </row>
  </sheetData>
  <mergeCells count="40">
    <mergeCell ref="K46:M46"/>
    <mergeCell ref="A13:D13"/>
    <mergeCell ref="B24:C24"/>
    <mergeCell ref="B25:C25"/>
    <mergeCell ref="B26:C26"/>
    <mergeCell ref="A24:A28"/>
    <mergeCell ref="B16:B19"/>
    <mergeCell ref="B20:B22"/>
    <mergeCell ref="A14:D14"/>
    <mergeCell ref="A16:A23"/>
    <mergeCell ref="A15:D15"/>
    <mergeCell ref="H35:H36"/>
    <mergeCell ref="G35:G36"/>
    <mergeCell ref="G37:G38"/>
    <mergeCell ref="B27:C27"/>
    <mergeCell ref="G39:G43"/>
    <mergeCell ref="E2:H2"/>
    <mergeCell ref="G29:G31"/>
    <mergeCell ref="G32:G34"/>
    <mergeCell ref="K24:M24"/>
    <mergeCell ref="E13:I13"/>
    <mergeCell ref="E14:I14"/>
    <mergeCell ref="H37:H38"/>
    <mergeCell ref="B39:C43"/>
    <mergeCell ref="H39:H43"/>
    <mergeCell ref="H29:H31"/>
    <mergeCell ref="H32:H34"/>
    <mergeCell ref="B32:C34"/>
    <mergeCell ref="B37:C38"/>
    <mergeCell ref="A60:A62"/>
    <mergeCell ref="A46:A51"/>
    <mergeCell ref="B47:C47"/>
    <mergeCell ref="B46:C46"/>
    <mergeCell ref="A29:A45"/>
    <mergeCell ref="B35:C36"/>
    <mergeCell ref="B49:C49"/>
    <mergeCell ref="B50:C50"/>
    <mergeCell ref="B44:C44"/>
    <mergeCell ref="B29:C31"/>
    <mergeCell ref="B48:C48"/>
  </mergeCells>
  <phoneticPr fontId="2"/>
  <dataValidations count="5">
    <dataValidation imeMode="off" allowBlank="1" showInputMessage="1" showErrorMessage="1" sqref="E53:E65 I5 E23 E28 E45 E51 I7:I9" xr:uid="{00000000-0002-0000-0000-000000000000}"/>
    <dataValidation imeMode="on" allowBlank="1" showInputMessage="1" showErrorMessage="1" sqref="A11:C11 I16:J51" xr:uid="{00000000-0002-0000-0000-000001000000}"/>
    <dataValidation type="list" allowBlank="1" showInputMessage="1" showErrorMessage="1" sqref="I6" xr:uid="{00000000-0002-0000-0000-000002000000}">
      <formula1>"なし,あり"</formula1>
    </dataValidation>
    <dataValidation type="list" allowBlank="1" showInputMessage="1" showErrorMessage="1" sqref="I4" xr:uid="{00000000-0002-0000-0000-000003000000}">
      <formula1>"青山貴洋,山本真基,尾﨑敬介,青山紘一"</formula1>
    </dataValidation>
    <dataValidation imeMode="disabled" allowBlank="1" showInputMessage="1" showErrorMessage="1" sqref="E16:E22 D24:E27 E29:E44 G16:G22 G24:G27 G29:G44 E52 D46:E50 G46:G50 H54 H60:H61" xr:uid="{00000000-0002-0000-0000-000004000000}"/>
  </dataValidations>
  <printOptions horizontalCentered="1" verticalCentered="1"/>
  <pageMargins left="0.59055118110236227" right="0.39370078740157483" top="0" bottom="0" header="0.23622047244094491" footer="0.1968503937007874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6"/>
  <sheetViews>
    <sheetView zoomScaleNormal="100" zoomScaleSheetLayoutView="100" workbookViewId="0">
      <selection activeCell="C55" sqref="C55"/>
    </sheetView>
  </sheetViews>
  <sheetFormatPr defaultColWidth="9" defaultRowHeight="12" x14ac:dyDescent="0.15"/>
  <cols>
    <col min="1" max="2" width="3.75" style="1" customWidth="1"/>
    <col min="3" max="3" width="12.5" style="1" customWidth="1"/>
    <col min="4" max="4" width="4.375" style="1" customWidth="1"/>
    <col min="5" max="7" width="10" style="1" customWidth="1"/>
    <col min="8" max="8" width="12.5" style="1" customWidth="1"/>
    <col min="9" max="9" width="26.25" style="1" customWidth="1"/>
    <col min="10" max="10" width="2.5" style="1" customWidth="1"/>
    <col min="11" max="11" width="14.875" style="1" customWidth="1"/>
    <col min="12" max="12" width="7.375" style="1" customWidth="1"/>
    <col min="13" max="16384" width="9" style="1"/>
  </cols>
  <sheetData>
    <row r="1" spans="1:9" ht="12.75" customHeight="1" x14ac:dyDescent="0.15">
      <c r="I1" s="72"/>
    </row>
    <row r="2" spans="1:9" ht="12.75" customHeight="1" x14ac:dyDescent="0.15">
      <c r="D2" s="73"/>
      <c r="E2" s="73"/>
      <c r="F2" s="73"/>
      <c r="G2" s="73"/>
      <c r="H2" s="73"/>
      <c r="I2" s="71"/>
    </row>
    <row r="3" spans="1:9" ht="12.75" customHeight="1" x14ac:dyDescent="0.15">
      <c r="D3" s="73"/>
      <c r="E3" s="73"/>
      <c r="F3" s="73"/>
      <c r="G3" s="73"/>
      <c r="H3" s="73"/>
      <c r="I3" s="71"/>
    </row>
    <row r="4" spans="1:9" ht="12.75" customHeight="1" x14ac:dyDescent="0.15">
      <c r="D4" s="73"/>
      <c r="E4" s="73"/>
      <c r="F4" s="73"/>
      <c r="G4" s="73"/>
      <c r="H4" s="73"/>
      <c r="I4" s="71"/>
    </row>
    <row r="5" spans="1:9" ht="12.75" customHeight="1" x14ac:dyDescent="0.15">
      <c r="D5" s="73"/>
      <c r="E5" s="73"/>
      <c r="F5" s="73"/>
      <c r="G5" s="73"/>
      <c r="H5" s="73"/>
      <c r="I5" s="71"/>
    </row>
    <row r="6" spans="1:9" ht="3.75" customHeight="1" x14ac:dyDescent="0.15">
      <c r="D6" s="62"/>
      <c r="E6" s="62"/>
      <c r="F6" s="62"/>
      <c r="G6" s="62"/>
      <c r="H6" s="62"/>
    </row>
    <row r="7" spans="1:9" ht="15" customHeight="1" x14ac:dyDescent="0.15">
      <c r="A7" s="304" t="str">
        <f>IF(入力!I10="","",入力!I10)</f>
        <v/>
      </c>
      <c r="B7" s="304"/>
      <c r="C7" s="304"/>
      <c r="D7" s="304"/>
      <c r="G7" s="305">
        <f>IF(入力!I7="","",入力!I7)</f>
        <v>46036</v>
      </c>
      <c r="H7" s="305"/>
      <c r="I7" s="305"/>
    </row>
    <row r="8" spans="1:9" ht="3.75" customHeight="1" x14ac:dyDescent="0.15">
      <c r="A8" s="302"/>
      <c r="B8" s="302"/>
      <c r="C8" s="302"/>
      <c r="D8" s="302"/>
      <c r="E8" s="16"/>
      <c r="G8" s="57"/>
      <c r="I8" s="4"/>
    </row>
    <row r="9" spans="1:9" ht="14.25" customHeight="1" x14ac:dyDescent="0.15">
      <c r="A9" s="303" t="str">
        <f>IF(入力!I11="","",入力!I11)</f>
        <v>玉腰裕規様、明日野様</v>
      </c>
      <c r="B9" s="303"/>
      <c r="C9" s="303"/>
      <c r="D9" s="303"/>
      <c r="E9" s="189"/>
      <c r="G9" s="306" t="s">
        <v>134</v>
      </c>
      <c r="H9" s="306"/>
      <c r="I9" s="306"/>
    </row>
    <row r="10" spans="1:9" ht="14.25" customHeight="1" x14ac:dyDescent="0.15">
      <c r="B10" s="18" t="s">
        <v>109</v>
      </c>
      <c r="C10" s="19"/>
      <c r="D10" s="19"/>
      <c r="G10" s="307" t="s">
        <v>135</v>
      </c>
      <c r="H10" s="307"/>
      <c r="I10" s="307"/>
    </row>
    <row r="11" spans="1:9" ht="18.75" customHeight="1" thickBot="1" x14ac:dyDescent="0.2">
      <c r="A11" s="3"/>
      <c r="B11" s="301">
        <f>入力!I12</f>
        <v>133870</v>
      </c>
      <c r="C11" s="301"/>
      <c r="D11" s="301"/>
      <c r="E11" s="20"/>
      <c r="G11" s="308" t="str">
        <f>入力!I4</f>
        <v>山本真基</v>
      </c>
      <c r="H11" s="308"/>
      <c r="I11" s="308"/>
    </row>
    <row r="12" spans="1:9" ht="13.5" customHeight="1" x14ac:dyDescent="0.15">
      <c r="A12" s="347" t="s">
        <v>35</v>
      </c>
      <c r="B12" s="348"/>
      <c r="C12" s="348"/>
      <c r="D12" s="349"/>
      <c r="E12" s="339" t="str">
        <f>IF(入力!E13="","",入力!E13)</f>
        <v>浜松中央区初生町822番20、822番23、822番25</v>
      </c>
      <c r="F12" s="340"/>
      <c r="G12" s="340"/>
      <c r="H12" s="340"/>
      <c r="I12" s="341"/>
    </row>
    <row r="13" spans="1:9" ht="13.5" customHeight="1" x14ac:dyDescent="0.15">
      <c r="A13" s="356" t="s">
        <v>119</v>
      </c>
      <c r="B13" s="357"/>
      <c r="C13" s="357"/>
      <c r="D13" s="358"/>
      <c r="E13" s="336" t="str">
        <f>IF(入力!E14="","",入力!E14)</f>
        <v>建物表題登記</v>
      </c>
      <c r="F13" s="337"/>
      <c r="G13" s="337"/>
      <c r="H13" s="337"/>
      <c r="I13" s="338"/>
    </row>
    <row r="14" spans="1:9" ht="13.5" customHeight="1" thickBot="1" x14ac:dyDescent="0.2">
      <c r="A14" s="344" t="s">
        <v>34</v>
      </c>
      <c r="B14" s="345"/>
      <c r="C14" s="345"/>
      <c r="D14" s="346"/>
      <c r="E14" s="191" t="s">
        <v>36</v>
      </c>
      <c r="F14" s="191" t="s">
        <v>37</v>
      </c>
      <c r="G14" s="191" t="s">
        <v>4</v>
      </c>
      <c r="H14" s="192" t="s">
        <v>38</v>
      </c>
      <c r="I14" s="193" t="s">
        <v>39</v>
      </c>
    </row>
    <row r="15" spans="1:9" ht="13.5" customHeight="1" x14ac:dyDescent="0.15">
      <c r="A15" s="315" t="s">
        <v>40</v>
      </c>
      <c r="B15" s="350" t="s">
        <v>62</v>
      </c>
      <c r="C15" s="45" t="s">
        <v>0</v>
      </c>
      <c r="D15" s="194"/>
      <c r="E15" s="81">
        <f>IF(入力!E16="","",入力!E16)</f>
        <v>3</v>
      </c>
      <c r="F15" s="21">
        <f>入力!F16</f>
        <v>1100</v>
      </c>
      <c r="G15" s="25">
        <f>IF(入力!E16="","",入力!G16)</f>
        <v>100</v>
      </c>
      <c r="H15" s="22">
        <f>入力!H16</f>
        <v>3300</v>
      </c>
      <c r="I15" s="27" t="str">
        <f>IF(入力!I16="","",入力!I16)</f>
        <v/>
      </c>
    </row>
    <row r="16" spans="1:9" ht="13.5" customHeight="1" x14ac:dyDescent="0.15">
      <c r="A16" s="316"/>
      <c r="B16" s="351"/>
      <c r="C16" s="49" t="s">
        <v>1</v>
      </c>
      <c r="D16" s="195"/>
      <c r="E16" s="23">
        <f>IF(入力!E17="","",入力!E17)</f>
        <v>1</v>
      </c>
      <c r="F16" s="24">
        <f>入力!F17</f>
        <v>1100</v>
      </c>
      <c r="G16" s="25">
        <f>IF(入力!E17="","",入力!G17)</f>
        <v>100</v>
      </c>
      <c r="H16" s="26">
        <f>入力!H17</f>
        <v>1100</v>
      </c>
      <c r="I16" s="27" t="str">
        <f>IF(入力!I17="","",入力!I17)</f>
        <v/>
      </c>
    </row>
    <row r="17" spans="1:12" ht="13.5" customHeight="1" x14ac:dyDescent="0.15">
      <c r="A17" s="316"/>
      <c r="B17" s="351"/>
      <c r="C17" s="49" t="s">
        <v>2</v>
      </c>
      <c r="D17" s="195"/>
      <c r="E17" s="190">
        <f>IF(入力!E18="","",入力!E18)</f>
        <v>3</v>
      </c>
      <c r="F17" s="24">
        <f>入力!F18</f>
        <v>1100</v>
      </c>
      <c r="G17" s="25">
        <f>IF(入力!E18="","",入力!G18)</f>
        <v>100</v>
      </c>
      <c r="H17" s="26">
        <f>入力!H18</f>
        <v>3300</v>
      </c>
      <c r="I17" s="27" t="str">
        <f>IF(入力!I18="","",入力!I18)</f>
        <v/>
      </c>
    </row>
    <row r="18" spans="1:12" ht="13.5" customHeight="1" x14ac:dyDescent="0.15">
      <c r="A18" s="316"/>
      <c r="B18" s="352"/>
      <c r="C18" s="49" t="s">
        <v>3</v>
      </c>
      <c r="D18" s="195"/>
      <c r="E18" s="28">
        <f>IF(入力!E19="","",入力!E19)</f>
        <v>1</v>
      </c>
      <c r="F18" s="24">
        <f>入力!F19</f>
        <v>6000</v>
      </c>
      <c r="G18" s="25">
        <f>IF(入力!E19="","",入力!G19)</f>
        <v>100</v>
      </c>
      <c r="H18" s="26">
        <f>入力!H19</f>
        <v>6000</v>
      </c>
      <c r="I18" s="27" t="str">
        <f>IF(入力!I19="","",入力!I19)</f>
        <v/>
      </c>
    </row>
    <row r="19" spans="1:12" ht="13.5" customHeight="1" x14ac:dyDescent="0.15">
      <c r="A19" s="316"/>
      <c r="B19" s="353" t="s">
        <v>79</v>
      </c>
      <c r="C19" s="49" t="s">
        <v>57</v>
      </c>
      <c r="D19" s="195"/>
      <c r="E19" s="29" t="str">
        <f>IF(入力!E20="","",入力!E20)</f>
        <v/>
      </c>
      <c r="F19" s="24">
        <f>入力!F20</f>
        <v>8000</v>
      </c>
      <c r="G19" s="25" t="str">
        <f>IF(入力!E20="","",入力!G20)</f>
        <v/>
      </c>
      <c r="H19" s="26" t="str">
        <f>入力!H20</f>
        <v/>
      </c>
      <c r="I19" s="27" t="str">
        <f>IF(入力!I20="","",入力!I20)</f>
        <v>敷地境界が不明な場合の調査</v>
      </c>
    </row>
    <row r="20" spans="1:12" ht="13.5" customHeight="1" x14ac:dyDescent="0.15">
      <c r="A20" s="316"/>
      <c r="B20" s="354"/>
      <c r="C20" s="49" t="s">
        <v>58</v>
      </c>
      <c r="D20" s="195"/>
      <c r="E20" s="29" t="str">
        <f>IF(入力!E21="","",入力!E21)</f>
        <v/>
      </c>
      <c r="F20" s="24">
        <f>入力!F21</f>
        <v>10000</v>
      </c>
      <c r="G20" s="25" t="str">
        <f>IF(入力!E21="","",入力!G21)</f>
        <v/>
      </c>
      <c r="H20" s="26" t="str">
        <f>入力!H21</f>
        <v/>
      </c>
      <c r="I20" s="27" t="str">
        <f>IF(入力!I21="","",入力!I21)</f>
        <v>敷地境界が不明な場合の調査</v>
      </c>
    </row>
    <row r="21" spans="1:12" ht="13.5" customHeight="1" x14ac:dyDescent="0.15">
      <c r="A21" s="316"/>
      <c r="B21" s="355"/>
      <c r="C21" s="49" t="s">
        <v>121</v>
      </c>
      <c r="D21" s="195"/>
      <c r="E21" s="29" t="str">
        <f>IF(入力!E22="","",入力!E22)</f>
        <v/>
      </c>
      <c r="F21" s="24">
        <v>15000</v>
      </c>
      <c r="G21" s="25" t="str">
        <f>IF(入力!E22="","",入力!G22)</f>
        <v/>
      </c>
      <c r="H21" s="26" t="str">
        <f>入力!H22</f>
        <v/>
      </c>
      <c r="I21" s="27" t="str">
        <f>IF(入力!I22="","",入力!I22)</f>
        <v>敷地境界が不明な場合の調査</v>
      </c>
    </row>
    <row r="22" spans="1:12" ht="13.5" customHeight="1" thickBot="1" x14ac:dyDescent="0.2">
      <c r="A22" s="317"/>
      <c r="B22" s="196"/>
      <c r="C22" s="197"/>
      <c r="D22" s="197"/>
      <c r="E22" s="30"/>
      <c r="F22" s="31"/>
      <c r="G22" s="32" t="s">
        <v>43</v>
      </c>
      <c r="H22" s="215">
        <f>入力!H23</f>
        <v>13700</v>
      </c>
      <c r="I22" s="34" t="str">
        <f>IF(入力!I23="","",入力!I23)</f>
        <v/>
      </c>
      <c r="J22" s="2"/>
      <c r="L22" s="58"/>
    </row>
    <row r="23" spans="1:12" ht="13.5" customHeight="1" x14ac:dyDescent="0.15">
      <c r="A23" s="315" t="s">
        <v>6</v>
      </c>
      <c r="B23" s="313" t="str">
        <f>IF(入力!B24="","",入力!B24)</f>
        <v>面積測量</v>
      </c>
      <c r="C23" s="314"/>
      <c r="D23" s="198"/>
      <c r="E23" s="98">
        <f>IF(入力!E24="","",入力!E24)</f>
        <v>110</v>
      </c>
      <c r="F23" s="21">
        <f>入力!F24</f>
        <v>40000</v>
      </c>
      <c r="G23" s="25">
        <f>IF(入力!E24="","",入力!G24)</f>
        <v>100</v>
      </c>
      <c r="H23" s="213">
        <f>入力!H24</f>
        <v>40000</v>
      </c>
      <c r="I23" s="70" t="str">
        <f>IF(入力!I24="","",入力!I24)</f>
        <v/>
      </c>
      <c r="J23" s="2"/>
      <c r="L23" s="58"/>
    </row>
    <row r="24" spans="1:12" ht="13.5" customHeight="1" x14ac:dyDescent="0.15">
      <c r="A24" s="316"/>
      <c r="B24" s="313" t="str">
        <f>IF(入力!B25="","",入力!B25)</f>
        <v/>
      </c>
      <c r="C24" s="314"/>
      <c r="D24" s="199"/>
      <c r="E24" s="99" t="str">
        <f>IF(入力!E25="","",入力!E25)</f>
        <v/>
      </c>
      <c r="F24" s="24" t="str">
        <f>入力!F25</f>
        <v/>
      </c>
      <c r="G24" s="25" t="str">
        <f>IF(入力!E25="","",入力!G25)</f>
        <v/>
      </c>
      <c r="H24" s="26" t="str">
        <f>入力!H25</f>
        <v/>
      </c>
      <c r="I24" s="27" t="str">
        <f>IF(入力!I25="","",入力!I25)</f>
        <v/>
      </c>
      <c r="J24" s="2"/>
      <c r="L24" s="58"/>
    </row>
    <row r="25" spans="1:12" ht="13.5" customHeight="1" x14ac:dyDescent="0.15">
      <c r="A25" s="316"/>
      <c r="B25" s="313" t="str">
        <f>IF(入力!B26="","",入力!B26)</f>
        <v/>
      </c>
      <c r="C25" s="314"/>
      <c r="D25" s="199"/>
      <c r="E25" s="99" t="str">
        <f>IF(入力!E26="","",入力!E26)</f>
        <v/>
      </c>
      <c r="F25" s="24" t="str">
        <f>入力!F26</f>
        <v/>
      </c>
      <c r="G25" s="25" t="str">
        <f>IF(入力!E26="","",入力!G26)</f>
        <v/>
      </c>
      <c r="H25" s="26" t="str">
        <f>入力!H26</f>
        <v/>
      </c>
      <c r="I25" s="27" t="str">
        <f>IF(入力!I26="","",入力!I26)</f>
        <v/>
      </c>
      <c r="J25" s="2"/>
      <c r="L25" s="58"/>
    </row>
    <row r="26" spans="1:12" ht="13.5" customHeight="1" x14ac:dyDescent="0.15">
      <c r="A26" s="316"/>
      <c r="B26" s="313" t="str">
        <f>IF(入力!B27="","",入力!B27)</f>
        <v/>
      </c>
      <c r="C26" s="314"/>
      <c r="D26" s="199"/>
      <c r="E26" s="99" t="str">
        <f>IF(入力!E27="","",入力!E27)</f>
        <v/>
      </c>
      <c r="F26" s="24" t="str">
        <f>入力!F27</f>
        <v/>
      </c>
      <c r="G26" s="25" t="str">
        <f>IF(入力!E27="","",入力!G27)</f>
        <v/>
      </c>
      <c r="H26" s="26" t="str">
        <f>入力!H27</f>
        <v/>
      </c>
      <c r="I26" s="27" t="str">
        <f>IF(入力!I27="","",入力!I27)</f>
        <v/>
      </c>
      <c r="J26" s="2"/>
      <c r="L26" s="58"/>
    </row>
    <row r="27" spans="1:12" ht="13.5" customHeight="1" thickBot="1" x14ac:dyDescent="0.2">
      <c r="A27" s="317"/>
      <c r="B27" s="53"/>
      <c r="C27" s="197"/>
      <c r="D27" s="197"/>
      <c r="E27" s="30"/>
      <c r="F27" s="30"/>
      <c r="G27" s="32" t="s">
        <v>43</v>
      </c>
      <c r="H27" s="214">
        <f>入力!H28</f>
        <v>40000</v>
      </c>
      <c r="I27" s="34" t="str">
        <f>IF(入力!I28="","",入力!I28)</f>
        <v/>
      </c>
      <c r="J27" s="2"/>
      <c r="L27" s="58"/>
    </row>
    <row r="28" spans="1:12" ht="13.5" customHeight="1" x14ac:dyDescent="0.15">
      <c r="A28" s="315" t="s">
        <v>7</v>
      </c>
      <c r="B28" s="342" t="str">
        <f>入力!B29</f>
        <v>表題</v>
      </c>
      <c r="C28" s="343"/>
      <c r="D28" s="200" t="s">
        <v>23</v>
      </c>
      <c r="E28" s="28">
        <f>IF(入力!E29="","",入力!E29)</f>
        <v>1</v>
      </c>
      <c r="F28" s="21">
        <f>入力!F29</f>
        <v>25000</v>
      </c>
      <c r="G28" s="333">
        <f>IF(入力!E29+入力!E30+入力!E31=0,"",入力!G29)</f>
        <v>100</v>
      </c>
      <c r="H28" s="335">
        <f>入力!H29</f>
        <v>30000</v>
      </c>
      <c r="I28" s="70" t="str">
        <f>IF(入力!I29="","",入力!I29)</f>
        <v>1棟1階</v>
      </c>
      <c r="J28" s="2"/>
      <c r="L28" s="58"/>
    </row>
    <row r="29" spans="1:12" ht="13.5" customHeight="1" x14ac:dyDescent="0.15">
      <c r="A29" s="316"/>
      <c r="B29" s="324"/>
      <c r="C29" s="325"/>
      <c r="D29" s="201" t="s">
        <v>24</v>
      </c>
      <c r="E29" s="95" t="str">
        <f>IF(入力!E30="","",入力!E30)</f>
        <v/>
      </c>
      <c r="F29" s="24">
        <f>入力!F30</f>
        <v>6000</v>
      </c>
      <c r="G29" s="334"/>
      <c r="H29" s="311"/>
      <c r="I29" s="70" t="str">
        <f>IF(入力!I30="","",入力!I30)</f>
        <v>附属建物1棟1階増加ごと</v>
      </c>
      <c r="J29" s="2"/>
      <c r="L29" s="58"/>
    </row>
    <row r="30" spans="1:12" ht="13.5" customHeight="1" x14ac:dyDescent="0.15">
      <c r="A30" s="316"/>
      <c r="B30" s="326"/>
      <c r="C30" s="327"/>
      <c r="D30" s="201" t="s">
        <v>24</v>
      </c>
      <c r="E30" s="96">
        <f>IF(入力!E31="","",入力!E31)</f>
        <v>1</v>
      </c>
      <c r="F30" s="24">
        <f>入力!F31</f>
        <v>5000</v>
      </c>
      <c r="G30" s="334"/>
      <c r="H30" s="312"/>
      <c r="I30" s="70" t="str">
        <f>IF(入力!I31="","",入力!I31)</f>
        <v>1階増加ごと</v>
      </c>
      <c r="J30" s="2"/>
      <c r="L30" s="58"/>
    </row>
    <row r="31" spans="1:12" ht="13.5" customHeight="1" x14ac:dyDescent="0.15">
      <c r="A31" s="316"/>
      <c r="B31" s="322" t="str">
        <f>入力!B32</f>
        <v>表示変更・更正</v>
      </c>
      <c r="C31" s="323"/>
      <c r="D31" s="202" t="s">
        <v>23</v>
      </c>
      <c r="E31" s="28" t="str">
        <f>IF(入力!E32="","",入力!E32)</f>
        <v/>
      </c>
      <c r="F31" s="24">
        <f>入力!F32</f>
        <v>25000</v>
      </c>
      <c r="G31" s="334" t="str">
        <f>IF(入力!E32+入力!E33+入力!E34=0,"",入力!G32)</f>
        <v/>
      </c>
      <c r="H31" s="310" t="str">
        <f>入力!H32</f>
        <v/>
      </c>
      <c r="I31" s="70" t="str">
        <f>IF(入力!I32="","",入力!I32)</f>
        <v>1棟1階</v>
      </c>
      <c r="J31" s="2"/>
      <c r="L31" s="58"/>
    </row>
    <row r="32" spans="1:12" ht="13.5" customHeight="1" x14ac:dyDescent="0.15">
      <c r="A32" s="316"/>
      <c r="B32" s="324"/>
      <c r="C32" s="325"/>
      <c r="D32" s="202" t="s">
        <v>24</v>
      </c>
      <c r="E32" s="95" t="str">
        <f>IF(入力!E33="","",入力!E33)</f>
        <v/>
      </c>
      <c r="F32" s="24">
        <f>入力!F33</f>
        <v>6000</v>
      </c>
      <c r="G32" s="334"/>
      <c r="H32" s="311"/>
      <c r="I32" s="70" t="str">
        <f>IF(入力!I33="","",入力!I33)</f>
        <v>附属建物1棟1階増加ごと</v>
      </c>
      <c r="J32" s="2"/>
      <c r="L32" s="58"/>
    </row>
    <row r="33" spans="1:12" ht="13.5" customHeight="1" x14ac:dyDescent="0.15">
      <c r="A33" s="316"/>
      <c r="B33" s="326"/>
      <c r="C33" s="327"/>
      <c r="D33" s="202" t="s">
        <v>24</v>
      </c>
      <c r="E33" s="96" t="str">
        <f>IF(入力!E34="","",入力!E34)</f>
        <v/>
      </c>
      <c r="F33" s="24">
        <f>入力!F34</f>
        <v>5000</v>
      </c>
      <c r="G33" s="334"/>
      <c r="H33" s="312"/>
      <c r="I33" s="70" t="str">
        <f>IF(入力!I34="","",入力!I34)</f>
        <v>1階増加ごと</v>
      </c>
      <c r="J33" s="2"/>
      <c r="K33" s="59"/>
      <c r="L33" s="58"/>
    </row>
    <row r="34" spans="1:12" ht="13.5" customHeight="1" x14ac:dyDescent="0.15">
      <c r="A34" s="316"/>
      <c r="B34" s="328" t="str">
        <f>入力!B35</f>
        <v>表示変更・更正
（図面不要）</v>
      </c>
      <c r="C34" s="323"/>
      <c r="D34" s="202" t="s">
        <v>23</v>
      </c>
      <c r="E34" s="28" t="str">
        <f>IF(入力!E35="","",入力!E35)</f>
        <v/>
      </c>
      <c r="F34" s="24">
        <f>入力!F35</f>
        <v>20000</v>
      </c>
      <c r="G34" s="329" t="str">
        <f>IF(入力!E35+入力!E36=0,"",入力!G35)</f>
        <v/>
      </c>
      <c r="H34" s="332" t="str">
        <f>入力!H35</f>
        <v/>
      </c>
      <c r="I34" s="70" t="str">
        <f>IF(入力!I35="","",入力!I35)</f>
        <v>1棟</v>
      </c>
      <c r="J34" s="2"/>
      <c r="K34" s="60"/>
      <c r="L34" s="58"/>
    </row>
    <row r="35" spans="1:12" ht="13.5" customHeight="1" x14ac:dyDescent="0.15">
      <c r="A35" s="316"/>
      <c r="B35" s="324"/>
      <c r="C35" s="325"/>
      <c r="D35" s="202" t="s">
        <v>24</v>
      </c>
      <c r="E35" s="97" t="str">
        <f>IF(入力!E36="","",入力!E36)</f>
        <v/>
      </c>
      <c r="F35" s="24">
        <f>入力!F36</f>
        <v>1000</v>
      </c>
      <c r="G35" s="330"/>
      <c r="H35" s="332"/>
      <c r="I35" s="70" t="str">
        <f>IF(入力!I36="","",入力!I36)</f>
        <v>附属建物1棟増加ごと</v>
      </c>
      <c r="J35" s="2"/>
      <c r="K35" s="61"/>
      <c r="L35" s="58"/>
    </row>
    <row r="36" spans="1:12" ht="13.5" customHeight="1" x14ac:dyDescent="0.15">
      <c r="A36" s="316"/>
      <c r="B36" s="322" t="str">
        <f>入力!B37</f>
        <v>滅失</v>
      </c>
      <c r="C36" s="323"/>
      <c r="D36" s="202" t="s">
        <v>23</v>
      </c>
      <c r="E36" s="28" t="str">
        <f>IF(入力!E37="","",入力!E37)</f>
        <v/>
      </c>
      <c r="F36" s="24">
        <f>入力!F37</f>
        <v>20000</v>
      </c>
      <c r="G36" s="329" t="str">
        <f>IF(入力!E37+入力!E38=0,"",入力!G37)</f>
        <v/>
      </c>
      <c r="H36" s="332" t="str">
        <f>入力!H37</f>
        <v/>
      </c>
      <c r="I36" s="70" t="str">
        <f>IF(入力!I37="","",入力!I37)</f>
        <v>1棟</v>
      </c>
      <c r="J36" s="2"/>
      <c r="K36" s="61"/>
      <c r="L36" s="58"/>
    </row>
    <row r="37" spans="1:12" ht="13.5" customHeight="1" x14ac:dyDescent="0.15">
      <c r="A37" s="316"/>
      <c r="B37" s="326"/>
      <c r="C37" s="327"/>
      <c r="D37" s="202" t="s">
        <v>24</v>
      </c>
      <c r="E37" s="97" t="str">
        <f>IF(入力!E38="","",入力!E38)</f>
        <v/>
      </c>
      <c r="F37" s="24">
        <f>入力!F38</f>
        <v>1000</v>
      </c>
      <c r="G37" s="330"/>
      <c r="H37" s="332"/>
      <c r="I37" s="70" t="str">
        <f>IF(入力!I38="","",入力!I38)</f>
        <v>附属建物1棟増加ごと</v>
      </c>
      <c r="J37" s="2"/>
      <c r="K37" s="61"/>
      <c r="L37" s="58"/>
    </row>
    <row r="38" spans="1:12" ht="13.5" customHeight="1" x14ac:dyDescent="0.15">
      <c r="A38" s="316"/>
      <c r="B38" s="322" t="str">
        <f>IF(入力!B39="","",入力!B39)</f>
        <v/>
      </c>
      <c r="C38" s="323"/>
      <c r="D38" s="202" t="s">
        <v>23</v>
      </c>
      <c r="E38" s="28" t="str">
        <f>IF(入力!E39="","",入力!E39)</f>
        <v/>
      </c>
      <c r="F38" s="24">
        <f>入力!F39</f>
        <v>15000</v>
      </c>
      <c r="G38" s="329" t="str">
        <f>IF(入力!E39+入力!E40+入力!E41+入力!E42+入力!E43=0,"",入力!G39)</f>
        <v/>
      </c>
      <c r="H38" s="310" t="str">
        <f>入力!H39</f>
        <v/>
      </c>
      <c r="I38" s="70" t="str">
        <f>IF(入力!I39="","",入力!I39)</f>
        <v/>
      </c>
      <c r="J38" s="2"/>
      <c r="K38" s="61"/>
      <c r="L38" s="58"/>
    </row>
    <row r="39" spans="1:12" ht="13.5" customHeight="1" x14ac:dyDescent="0.15">
      <c r="A39" s="316"/>
      <c r="B39" s="324"/>
      <c r="C39" s="325"/>
      <c r="D39" s="202" t="s">
        <v>24</v>
      </c>
      <c r="E39" s="234" t="str">
        <f>IF(入力!E40="","",入力!E40)</f>
        <v/>
      </c>
      <c r="F39" s="24">
        <f>入力!F40</f>
        <v>0</v>
      </c>
      <c r="G39" s="331"/>
      <c r="H39" s="311"/>
      <c r="I39" s="70" t="str">
        <f>IF(入力!I40="","",入力!I40)</f>
        <v/>
      </c>
      <c r="J39" s="2"/>
      <c r="K39" s="61"/>
      <c r="L39" s="58"/>
    </row>
    <row r="40" spans="1:12" ht="13.5" customHeight="1" x14ac:dyDescent="0.15">
      <c r="A40" s="316"/>
      <c r="B40" s="324"/>
      <c r="C40" s="325"/>
      <c r="D40" s="202" t="s">
        <v>24</v>
      </c>
      <c r="E40" s="80" t="str">
        <f>IF(入力!E41="","",入力!E41)</f>
        <v/>
      </c>
      <c r="F40" s="24">
        <f>入力!F41</f>
        <v>0</v>
      </c>
      <c r="G40" s="331"/>
      <c r="H40" s="311"/>
      <c r="I40" s="70" t="str">
        <f>IF(入力!I41="","",入力!I41)</f>
        <v/>
      </c>
      <c r="K40" s="2"/>
    </row>
    <row r="41" spans="1:12" ht="13.5" customHeight="1" x14ac:dyDescent="0.15">
      <c r="A41" s="316"/>
      <c r="B41" s="324"/>
      <c r="C41" s="325"/>
      <c r="D41" s="202" t="s">
        <v>24</v>
      </c>
      <c r="E41" s="80" t="str">
        <f>IF(入力!E42="","",入力!E42)</f>
        <v/>
      </c>
      <c r="F41" s="24">
        <f>入力!F42</f>
        <v>0</v>
      </c>
      <c r="G41" s="331"/>
      <c r="H41" s="311"/>
      <c r="I41" s="70" t="str">
        <f>IF(入力!I42="","",入力!I42)</f>
        <v/>
      </c>
      <c r="K41" s="2"/>
    </row>
    <row r="42" spans="1:12" ht="13.5" customHeight="1" x14ac:dyDescent="0.15">
      <c r="A42" s="316"/>
      <c r="B42" s="326"/>
      <c r="C42" s="327"/>
      <c r="D42" s="203" t="s">
        <v>24</v>
      </c>
      <c r="E42" s="80" t="str">
        <f>IF(入力!E43="","",入力!E43)</f>
        <v/>
      </c>
      <c r="F42" s="24">
        <f>入力!F43</f>
        <v>0</v>
      </c>
      <c r="G42" s="330"/>
      <c r="H42" s="312"/>
      <c r="I42" s="70" t="str">
        <f>IF(入力!I43="","",入力!I43)</f>
        <v/>
      </c>
      <c r="K42" s="2"/>
    </row>
    <row r="43" spans="1:12" ht="13.5" customHeight="1" x14ac:dyDescent="0.15">
      <c r="A43" s="316"/>
      <c r="B43" s="313" t="str">
        <f>入力!B44</f>
        <v>現地調査費</v>
      </c>
      <c r="C43" s="314"/>
      <c r="D43" s="195"/>
      <c r="E43" s="28">
        <f>IF(入力!E44="","",入力!E44)</f>
        <v>1</v>
      </c>
      <c r="F43" s="24">
        <f>入力!F44</f>
        <v>18000</v>
      </c>
      <c r="G43" s="25">
        <f>IF(入力!E44="","",入力!G44)</f>
        <v>100</v>
      </c>
      <c r="H43" s="26">
        <f>入力!H44</f>
        <v>18000</v>
      </c>
      <c r="I43" s="70" t="str">
        <f>IF(入力!I44="","",入力!I44)</f>
        <v/>
      </c>
    </row>
    <row r="44" spans="1:12" ht="13.5" customHeight="1" thickBot="1" x14ac:dyDescent="0.2">
      <c r="A44" s="317"/>
      <c r="B44" s="53"/>
      <c r="C44" s="197"/>
      <c r="D44" s="197"/>
      <c r="E44" s="30"/>
      <c r="F44" s="31"/>
      <c r="G44" s="32" t="s">
        <v>43</v>
      </c>
      <c r="H44" s="33">
        <f>入力!H45</f>
        <v>48000</v>
      </c>
      <c r="I44" s="34" t="str">
        <f>IF(入力!I45="","",入力!I45)</f>
        <v/>
      </c>
    </row>
    <row r="45" spans="1:12" ht="13.5" customHeight="1" x14ac:dyDescent="0.15">
      <c r="A45" s="315" t="s">
        <v>32</v>
      </c>
      <c r="B45" s="320" t="str">
        <f>入力!B46</f>
        <v>調査報告書</v>
      </c>
      <c r="C45" s="321"/>
      <c r="D45" s="204"/>
      <c r="E45" s="35">
        <f>IF(入力!E46="","",入力!E46)</f>
        <v>1</v>
      </c>
      <c r="F45" s="21">
        <f>入力!F46</f>
        <v>6000</v>
      </c>
      <c r="G45" s="25">
        <f>IF(入力!E46="","",入力!G46)</f>
        <v>100</v>
      </c>
      <c r="H45" s="26">
        <f>入力!H46</f>
        <v>6000</v>
      </c>
      <c r="I45" s="70" t="str">
        <f>IF(入力!I46="","",入力!I46)</f>
        <v/>
      </c>
      <c r="J45" s="2"/>
    </row>
    <row r="46" spans="1:12" ht="13.5" customHeight="1" x14ac:dyDescent="0.15">
      <c r="A46" s="316"/>
      <c r="B46" s="318" t="str">
        <f>入力!B47</f>
        <v>原本の複製</v>
      </c>
      <c r="C46" s="319"/>
      <c r="D46" s="205"/>
      <c r="E46" s="35">
        <f>IF(入力!E47="","",入力!E47)</f>
        <v>4</v>
      </c>
      <c r="F46" s="24">
        <f>入力!F47</f>
        <v>1000</v>
      </c>
      <c r="G46" s="25">
        <f>IF(入力!E47="","",入力!G47)</f>
        <v>100</v>
      </c>
      <c r="H46" s="26">
        <f>入力!H47</f>
        <v>4000</v>
      </c>
      <c r="I46" s="27" t="str">
        <f>IF(入力!I47="","",入力!I47)</f>
        <v/>
      </c>
      <c r="J46" s="2"/>
    </row>
    <row r="47" spans="1:12" ht="13.5" customHeight="1" x14ac:dyDescent="0.15">
      <c r="A47" s="316"/>
      <c r="B47" s="318" t="str">
        <f>入力!B48</f>
        <v>工事完了引渡証明</v>
      </c>
      <c r="C47" s="319"/>
      <c r="D47" s="205"/>
      <c r="E47" s="35">
        <f>IF(入力!E48="","",入力!E48)</f>
        <v>1</v>
      </c>
      <c r="F47" s="24">
        <f>入力!F48</f>
        <v>5000</v>
      </c>
      <c r="G47" s="25">
        <f>IF(入力!E48="","",入力!G48)</f>
        <v>100</v>
      </c>
      <c r="H47" s="26">
        <f>入力!H48</f>
        <v>5000</v>
      </c>
      <c r="I47" s="27" t="str">
        <f>IF(入力!I48="","",入力!I48)</f>
        <v/>
      </c>
      <c r="J47" s="2"/>
    </row>
    <row r="48" spans="1:12" ht="13.5" customHeight="1" x14ac:dyDescent="0.15">
      <c r="A48" s="316"/>
      <c r="B48" s="318" t="str">
        <f>入力!B49</f>
        <v>申述書</v>
      </c>
      <c r="C48" s="319"/>
      <c r="D48" s="205"/>
      <c r="E48" s="35">
        <f>IF(入力!E49="","",入力!E49)</f>
        <v>1</v>
      </c>
      <c r="F48" s="24">
        <f>入力!F49</f>
        <v>5000</v>
      </c>
      <c r="G48" s="25">
        <f>IF(入力!E49="","",入力!G49)</f>
        <v>100</v>
      </c>
      <c r="H48" s="26">
        <f>入力!H49</f>
        <v>5000</v>
      </c>
      <c r="I48" s="27" t="str">
        <f>IF(入力!I49="","",入力!I49)</f>
        <v/>
      </c>
      <c r="J48" s="2"/>
    </row>
    <row r="49" spans="1:10" ht="13.5" customHeight="1" x14ac:dyDescent="0.15">
      <c r="A49" s="316"/>
      <c r="B49" s="318" t="str">
        <f>入力!B50</f>
        <v/>
      </c>
      <c r="C49" s="319"/>
      <c r="D49" s="205"/>
      <c r="E49" s="35" t="str">
        <f>IF(入力!E50="","",入力!E50)</f>
        <v/>
      </c>
      <c r="F49" s="24" t="str">
        <f>入力!F50</f>
        <v/>
      </c>
      <c r="G49" s="25" t="str">
        <f>IF(入力!E50="","",入力!G50)</f>
        <v/>
      </c>
      <c r="H49" s="26" t="str">
        <f>入力!H50</f>
        <v/>
      </c>
      <c r="I49" s="27" t="str">
        <f>IF(入力!I50="","",入力!I50)</f>
        <v/>
      </c>
      <c r="J49" s="2"/>
    </row>
    <row r="50" spans="1:10" ht="13.5" customHeight="1" thickBot="1" x14ac:dyDescent="0.2">
      <c r="A50" s="317"/>
      <c r="B50" s="53"/>
      <c r="C50" s="197"/>
      <c r="D50" s="197"/>
      <c r="E50" s="30"/>
      <c r="F50" s="30"/>
      <c r="G50" s="32" t="s">
        <v>43</v>
      </c>
      <c r="H50" s="214">
        <f>入力!H51</f>
        <v>20000</v>
      </c>
      <c r="I50" s="34" t="str">
        <f>IF(入力!I51="","",入力!I51)</f>
        <v/>
      </c>
      <c r="J50" s="2"/>
    </row>
    <row r="51" spans="1:10" ht="13.5" customHeight="1" thickBot="1" x14ac:dyDescent="0.2">
      <c r="A51" s="206"/>
      <c r="B51" s="207"/>
      <c r="C51" s="208" t="s">
        <v>33</v>
      </c>
      <c r="D51" s="209"/>
      <c r="E51" s="37">
        <f>入力!E52</f>
        <v>0</v>
      </c>
      <c r="F51" s="38">
        <f>入力!F52</f>
        <v>200</v>
      </c>
      <c r="G51" s="39"/>
      <c r="H51" s="216">
        <f>入力!H52</f>
        <v>0</v>
      </c>
      <c r="I51" s="222" t="str">
        <f>IF(入力!I52="","",入力!I52)</f>
        <v/>
      </c>
      <c r="J51" s="2"/>
    </row>
    <row r="52" spans="1:10" ht="13.5" customHeight="1" thickBot="1" x14ac:dyDescent="0.2">
      <c r="A52" s="206"/>
      <c r="B52" s="207"/>
      <c r="C52" s="208"/>
      <c r="D52" s="208"/>
      <c r="E52" s="36"/>
      <c r="F52" s="36"/>
      <c r="G52" s="40" t="s">
        <v>42</v>
      </c>
      <c r="H52" s="217">
        <f>入力!H53</f>
        <v>121700</v>
      </c>
      <c r="I52" s="34" t="str">
        <f>IF(入力!I53="","",入力!I53)</f>
        <v/>
      </c>
      <c r="J52" s="2"/>
    </row>
    <row r="53" spans="1:10" ht="13.5" customHeight="1" thickBot="1" x14ac:dyDescent="0.2">
      <c r="A53" s="210"/>
      <c r="B53" s="211"/>
      <c r="C53" s="212"/>
      <c r="D53" s="212"/>
      <c r="E53" s="41"/>
      <c r="F53" s="41"/>
      <c r="G53" s="42" t="s">
        <v>41</v>
      </c>
      <c r="H53" s="218">
        <f>入力!H54</f>
        <v>0</v>
      </c>
      <c r="I53" s="34" t="str">
        <f>IF(入力!I54="","",入力!I54)</f>
        <v/>
      </c>
      <c r="J53" s="2"/>
    </row>
    <row r="54" spans="1:10" ht="13.5" customHeight="1" x14ac:dyDescent="0.15">
      <c r="A54" s="43" t="s">
        <v>95</v>
      </c>
      <c r="B54" s="44"/>
      <c r="C54" s="45" t="s">
        <v>45</v>
      </c>
      <c r="D54" s="45"/>
      <c r="E54" s="46"/>
      <c r="F54" s="46"/>
      <c r="G54" s="44"/>
      <c r="H54" s="219">
        <f>入力!H55</f>
        <v>121700</v>
      </c>
      <c r="I54" s="27" t="str">
        <f>IF(入力!I55="","",入力!I55)</f>
        <v/>
      </c>
    </row>
    <row r="55" spans="1:10" ht="13.5" customHeight="1" x14ac:dyDescent="0.15">
      <c r="A55" s="47" t="s">
        <v>96</v>
      </c>
      <c r="B55" s="48"/>
      <c r="C55" s="49" t="s">
        <v>9</v>
      </c>
      <c r="D55" s="49"/>
      <c r="E55" s="50" t="s">
        <v>131</v>
      </c>
      <c r="F55" s="50"/>
      <c r="G55" s="48"/>
      <c r="H55" s="220">
        <f>入力!H56</f>
        <v>12170</v>
      </c>
      <c r="I55" s="27" t="str">
        <f>IF(入力!I56="","",入力!I56)</f>
        <v/>
      </c>
    </row>
    <row r="56" spans="1:10" ht="13.5" customHeight="1" x14ac:dyDescent="0.15">
      <c r="A56" s="47" t="s">
        <v>19</v>
      </c>
      <c r="B56" s="48"/>
      <c r="C56" s="49" t="s">
        <v>8</v>
      </c>
      <c r="D56" s="49"/>
      <c r="E56" s="50" t="s">
        <v>44</v>
      </c>
      <c r="F56" s="50"/>
      <c r="G56" s="48"/>
      <c r="H56" s="220">
        <f>入力!H57</f>
        <v>133870</v>
      </c>
      <c r="I56" s="27" t="str">
        <f>IF(入力!I57="","",入力!I57)</f>
        <v/>
      </c>
    </row>
    <row r="57" spans="1:10" ht="13.5" customHeight="1" x14ac:dyDescent="0.15">
      <c r="A57" s="47" t="s">
        <v>97</v>
      </c>
      <c r="B57" s="48"/>
      <c r="C57" s="49" t="s">
        <v>11</v>
      </c>
      <c r="D57" s="51" t="str">
        <f>入力!D58</f>
        <v/>
      </c>
      <c r="E57" s="50"/>
      <c r="F57" s="50"/>
      <c r="G57" s="48"/>
      <c r="H57" s="220" t="str">
        <f>入力!H58</f>
        <v>　　　　―</v>
      </c>
      <c r="I57" s="27" t="str">
        <f>IF(入力!I58="","",入力!I58)</f>
        <v/>
      </c>
    </row>
    <row r="58" spans="1:10" ht="13.5" customHeight="1" x14ac:dyDescent="0.15">
      <c r="A58" s="47" t="s">
        <v>27</v>
      </c>
      <c r="B58" s="48"/>
      <c r="C58" s="49" t="s">
        <v>12</v>
      </c>
      <c r="D58" s="49"/>
      <c r="E58" s="50" t="s">
        <v>49</v>
      </c>
      <c r="F58" s="50"/>
      <c r="G58" s="48"/>
      <c r="H58" s="220">
        <f>入力!H59</f>
        <v>133870</v>
      </c>
      <c r="I58" s="27" t="str">
        <f>IF(入力!I59="","",入力!I59)</f>
        <v/>
      </c>
    </row>
    <row r="59" spans="1:10" ht="13.5" customHeight="1" x14ac:dyDescent="0.15">
      <c r="A59" s="309" t="s">
        <v>28</v>
      </c>
      <c r="B59" s="48"/>
      <c r="C59" s="49" t="s">
        <v>13</v>
      </c>
      <c r="D59" s="49"/>
      <c r="E59" s="50"/>
      <c r="F59" s="50"/>
      <c r="G59" s="48"/>
      <c r="H59" s="220">
        <f>入力!H60</f>
        <v>0</v>
      </c>
      <c r="I59" s="27" t="str">
        <f>IF(入力!I60="","",入力!I60)</f>
        <v/>
      </c>
    </row>
    <row r="60" spans="1:10" ht="13.5" customHeight="1" x14ac:dyDescent="0.15">
      <c r="A60" s="309"/>
      <c r="B60" s="48"/>
      <c r="C60" s="49" t="s">
        <v>14</v>
      </c>
      <c r="D60" s="49"/>
      <c r="E60" s="50"/>
      <c r="F60" s="50"/>
      <c r="G60" s="48"/>
      <c r="H60" s="220">
        <f>入力!H61</f>
        <v>0</v>
      </c>
      <c r="I60" s="27" t="str">
        <f>IF(入力!I61="","",入力!I61)</f>
        <v/>
      </c>
    </row>
    <row r="61" spans="1:10" ht="13.5" customHeight="1" x14ac:dyDescent="0.15">
      <c r="A61" s="309"/>
      <c r="B61" s="48"/>
      <c r="C61" s="49" t="s">
        <v>10</v>
      </c>
      <c r="D61" s="49"/>
      <c r="E61" s="50"/>
      <c r="F61" s="50"/>
      <c r="G61" s="48"/>
      <c r="H61" s="220">
        <f>入力!H62</f>
        <v>0</v>
      </c>
      <c r="I61" s="27" t="str">
        <f>IF(入力!I62="","",入力!I62)</f>
        <v/>
      </c>
    </row>
    <row r="62" spans="1:10" ht="13.5" customHeight="1" x14ac:dyDescent="0.15">
      <c r="A62" s="47" t="s">
        <v>29</v>
      </c>
      <c r="B62" s="48"/>
      <c r="C62" s="49" t="s">
        <v>16</v>
      </c>
      <c r="D62" s="49"/>
      <c r="E62" s="50" t="s">
        <v>50</v>
      </c>
      <c r="F62" s="50"/>
      <c r="G62" s="48"/>
      <c r="H62" s="220">
        <f>入力!H63</f>
        <v>133870</v>
      </c>
      <c r="I62" s="27" t="str">
        <f>IF(入力!I63="","",入力!I63)</f>
        <v/>
      </c>
    </row>
    <row r="63" spans="1:10" ht="13.5" customHeight="1" x14ac:dyDescent="0.15">
      <c r="A63" s="47" t="s">
        <v>30</v>
      </c>
      <c r="B63" s="48"/>
      <c r="C63" s="49" t="s">
        <v>17</v>
      </c>
      <c r="D63" s="49"/>
      <c r="E63" s="50"/>
      <c r="F63" s="50"/>
      <c r="G63" s="48"/>
      <c r="H63" s="220">
        <f>入力!H64</f>
        <v>0</v>
      </c>
      <c r="I63" s="27" t="str">
        <f>IF(入力!I64="","",入力!I64)</f>
        <v/>
      </c>
    </row>
    <row r="64" spans="1:10" ht="13.5" customHeight="1" thickBot="1" x14ac:dyDescent="0.2">
      <c r="A64" s="52" t="s">
        <v>31</v>
      </c>
      <c r="B64" s="53"/>
      <c r="C64" s="54" t="s">
        <v>18</v>
      </c>
      <c r="D64" s="54"/>
      <c r="E64" s="55" t="s">
        <v>55</v>
      </c>
      <c r="F64" s="55"/>
      <c r="G64" s="53"/>
      <c r="H64" s="221">
        <f>入力!H65</f>
        <v>133870</v>
      </c>
      <c r="I64" s="34" t="str">
        <f>IF(入力!I65="","",入力!I65)</f>
        <v/>
      </c>
    </row>
    <row r="65" spans="1:9" ht="13.5" customHeight="1" x14ac:dyDescent="0.15">
      <c r="A65" s="17"/>
      <c r="C65" s="17"/>
      <c r="D65" s="59"/>
      <c r="E65" s="17" t="str">
        <f>IF(入力!I4="青山紘一","　　　土地家屋調査士 青山紘一 事務所",IF(入力!I4="青山貴洋","　　　土地家屋調査士 青山貴洋 事務所",IF(入力!I4="山本真基","　　　土地家屋調査士 山本真基 事務所",IF(入力!I4="尾﨑敬介","　　　土地家屋調査士 尾﨑敬介 事務所"))))</f>
        <v>　　　土地家屋調査士 山本真基 事務所</v>
      </c>
      <c r="F65" s="59"/>
      <c r="H65" s="57"/>
      <c r="I65" s="56" t="s">
        <v>136</v>
      </c>
    </row>
    <row r="66" spans="1:9" ht="15" customHeight="1" x14ac:dyDescent="0.15">
      <c r="A66" s="3"/>
    </row>
  </sheetData>
  <mergeCells count="45">
    <mergeCell ref="E13:I13"/>
    <mergeCell ref="G31:G33"/>
    <mergeCell ref="E12:I12"/>
    <mergeCell ref="A23:A27"/>
    <mergeCell ref="B25:C25"/>
    <mergeCell ref="B28:C30"/>
    <mergeCell ref="B31:C33"/>
    <mergeCell ref="A14:D14"/>
    <mergeCell ref="A12:D12"/>
    <mergeCell ref="B23:C23"/>
    <mergeCell ref="B15:B18"/>
    <mergeCell ref="A28:A44"/>
    <mergeCell ref="B26:C26"/>
    <mergeCell ref="B19:B21"/>
    <mergeCell ref="A13:D13"/>
    <mergeCell ref="B47:C47"/>
    <mergeCell ref="H34:H35"/>
    <mergeCell ref="G28:G30"/>
    <mergeCell ref="H28:H30"/>
    <mergeCell ref="H31:H33"/>
    <mergeCell ref="H36:H37"/>
    <mergeCell ref="A59:A61"/>
    <mergeCell ref="H38:H42"/>
    <mergeCell ref="B24:C24"/>
    <mergeCell ref="A15:A22"/>
    <mergeCell ref="A45:A50"/>
    <mergeCell ref="B46:C46"/>
    <mergeCell ref="B45:C45"/>
    <mergeCell ref="B43:C43"/>
    <mergeCell ref="B38:C42"/>
    <mergeCell ref="B34:C35"/>
    <mergeCell ref="B36:C37"/>
    <mergeCell ref="G34:G35"/>
    <mergeCell ref="G36:G37"/>
    <mergeCell ref="G38:G42"/>
    <mergeCell ref="B49:C49"/>
    <mergeCell ref="B48:C48"/>
    <mergeCell ref="B11:D11"/>
    <mergeCell ref="A8:D8"/>
    <mergeCell ref="A9:D9"/>
    <mergeCell ref="A7:D7"/>
    <mergeCell ref="G7:I7"/>
    <mergeCell ref="G9:I9"/>
    <mergeCell ref="G10:I10"/>
    <mergeCell ref="G11:I11"/>
  </mergeCells>
  <phoneticPr fontId="2"/>
  <dataValidations count="2">
    <dataValidation imeMode="off" allowBlank="1" showInputMessage="1" showErrorMessage="1" sqref="E15:E64" xr:uid="{00000000-0002-0000-0200-000000000000}"/>
    <dataValidation imeMode="on" allowBlank="1" showInputMessage="1" showErrorMessage="1" sqref="I15:I64 A9:C9" xr:uid="{00000000-0002-0000-0200-000001000000}"/>
  </dataValidations>
  <printOptions horizontalCentered="1"/>
  <pageMargins left="0.39370078740157483" right="0" top="0.59055118110236227" bottom="0" header="0" footer="0"/>
  <pageSetup paperSize="9" scale="9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6"/>
  <sheetViews>
    <sheetView view="pageBreakPreview" zoomScaleNormal="100" zoomScaleSheetLayoutView="100" workbookViewId="0">
      <selection activeCell="F9" sqref="F9"/>
    </sheetView>
  </sheetViews>
  <sheetFormatPr defaultColWidth="9" defaultRowHeight="12" x14ac:dyDescent="0.15"/>
  <cols>
    <col min="1" max="2" width="3.75" style="1" customWidth="1"/>
    <col min="3" max="3" width="12.5" style="1" customWidth="1"/>
    <col min="4" max="4" width="4.375" style="1" customWidth="1"/>
    <col min="5" max="7" width="10" style="1" customWidth="1"/>
    <col min="8" max="8" width="12.5" style="1" customWidth="1"/>
    <col min="9" max="9" width="26.25" style="1" customWidth="1"/>
    <col min="10" max="10" width="2.5" style="1" customWidth="1"/>
    <col min="11" max="11" width="14.875" style="1" customWidth="1"/>
    <col min="12" max="12" width="7.375" style="1" customWidth="1"/>
    <col min="13" max="16384" width="9" style="1"/>
  </cols>
  <sheetData>
    <row r="1" spans="1:9" ht="12.75" customHeight="1" x14ac:dyDescent="0.15">
      <c r="I1" s="72" t="s">
        <v>106</v>
      </c>
    </row>
    <row r="2" spans="1:9" ht="12.75" customHeight="1" x14ac:dyDescent="0.15">
      <c r="D2" s="73"/>
      <c r="E2" s="73"/>
      <c r="F2" s="73"/>
      <c r="G2" s="73"/>
      <c r="H2" s="73"/>
      <c r="I2" s="71" t="s">
        <v>130</v>
      </c>
    </row>
    <row r="3" spans="1:9" ht="12.75" customHeight="1" x14ac:dyDescent="0.15">
      <c r="D3" s="73"/>
      <c r="E3" s="73"/>
      <c r="F3" s="73"/>
      <c r="G3" s="73"/>
      <c r="H3" s="73"/>
      <c r="I3" s="71" t="str">
        <f>IF(入力!I4="青山紘一","普　通　 ４７２２０４９",IF(入力!I4="青山貴洋","普　通 　５２８２４０７",IF(入力!I4="山本真基","普　通 　０４２１４２８")))</f>
        <v>普　通 　０４２１４２８</v>
      </c>
    </row>
    <row r="4" spans="1:9" ht="12.75" customHeight="1" x14ac:dyDescent="0.15">
      <c r="D4" s="73"/>
      <c r="E4" s="73"/>
      <c r="F4" s="73"/>
      <c r="G4" s="73"/>
      <c r="H4" s="73"/>
      <c r="I4" s="71" t="str">
        <f>IF(入力!I4="青山紘一","ﾄﾁｶｵｸﾁｮｳｻｼ 　　ｱｵﾔﾏｺｳｲﾁ",IF(入力!I4="青山貴洋","ﾄﾁｶｵｸﾁｮｳｻｼ 　　ｱｵﾔﾏﾀｶﾋﾛ",IF(入力!I4="山本真基","ｷﾞｮｳｾｲｼｮｼ　　　ﾔﾏﾓﾄﾏｻｷ")))</f>
        <v>ｷﾞｮｳｾｲｼｮｼ　　　ﾔﾏﾓﾄﾏｻｷ</v>
      </c>
    </row>
    <row r="5" spans="1:9" ht="12.75" customHeight="1" x14ac:dyDescent="0.15">
      <c r="D5" s="73"/>
      <c r="E5" s="73"/>
      <c r="F5" s="73"/>
      <c r="G5" s="73"/>
      <c r="H5" s="73"/>
      <c r="I5" s="71" t="str">
        <f>IF(入力!I4="青山紘一","土地家屋調査士 青山紘一",IF(入力!I4="青山貴洋","土地家屋調査士 青山貴洋",IF(入力!I4="山本真基","行 政 書 士 　山本 真基")))</f>
        <v>行 政 書 士 　山本 真基</v>
      </c>
    </row>
    <row r="6" spans="1:9" ht="3.75" customHeight="1" x14ac:dyDescent="0.15">
      <c r="D6" s="62"/>
      <c r="E6" s="62"/>
      <c r="F6" s="62"/>
      <c r="G6" s="62"/>
      <c r="H6" s="62"/>
    </row>
    <row r="7" spans="1:9" ht="15" customHeight="1" x14ac:dyDescent="0.15">
      <c r="A7" s="304" t="str">
        <f>IF(入力!I10="","",入力!I10)</f>
        <v/>
      </c>
      <c r="B7" s="304"/>
      <c r="C7" s="304"/>
      <c r="D7" s="304"/>
      <c r="G7" s="359">
        <f>IF(入力!I8="","",入力!I8)</f>
        <v>46058</v>
      </c>
      <c r="H7" s="359"/>
      <c r="I7" s="359"/>
    </row>
    <row r="8" spans="1:9" ht="3.75" customHeight="1" x14ac:dyDescent="0.15">
      <c r="A8" s="302"/>
      <c r="B8" s="302"/>
      <c r="C8" s="302"/>
      <c r="D8" s="302"/>
      <c r="E8" s="16"/>
      <c r="G8" s="57"/>
      <c r="I8" s="4"/>
    </row>
    <row r="9" spans="1:9" ht="14.25" customHeight="1" x14ac:dyDescent="0.15">
      <c r="A9" s="303" t="str">
        <f>IF(入力!I11="","",入力!I11)</f>
        <v>玉腰裕規様、明日野様</v>
      </c>
      <c r="B9" s="303"/>
      <c r="C9" s="303"/>
      <c r="D9" s="303"/>
      <c r="E9" s="189"/>
      <c r="G9" s="306" t="s">
        <v>134</v>
      </c>
      <c r="H9" s="306"/>
      <c r="I9" s="306"/>
    </row>
    <row r="10" spans="1:9" ht="14.25" customHeight="1" x14ac:dyDescent="0.15">
      <c r="B10" s="18" t="s">
        <v>105</v>
      </c>
      <c r="C10" s="19"/>
      <c r="D10" s="19"/>
      <c r="G10" s="307" t="s">
        <v>135</v>
      </c>
      <c r="H10" s="307"/>
      <c r="I10" s="307"/>
    </row>
    <row r="11" spans="1:9" ht="18.75" customHeight="1" thickBot="1" x14ac:dyDescent="0.2">
      <c r="A11" s="3"/>
      <c r="B11" s="301">
        <f>入力!I12</f>
        <v>133870</v>
      </c>
      <c r="C11" s="301"/>
      <c r="D11" s="301"/>
      <c r="E11" s="20"/>
      <c r="G11" s="308" t="str">
        <f>入力!I4</f>
        <v>山本真基</v>
      </c>
      <c r="H11" s="308"/>
      <c r="I11" s="308"/>
    </row>
    <row r="12" spans="1:9" ht="13.5" customHeight="1" x14ac:dyDescent="0.15">
      <c r="A12" s="347" t="s">
        <v>35</v>
      </c>
      <c r="B12" s="348"/>
      <c r="C12" s="348"/>
      <c r="D12" s="349"/>
      <c r="E12" s="339" t="str">
        <f>IF(入力!E13="","",入力!E13)</f>
        <v>浜松中央区初生町822番20、822番23、822番25</v>
      </c>
      <c r="F12" s="340"/>
      <c r="G12" s="340"/>
      <c r="H12" s="340"/>
      <c r="I12" s="341"/>
    </row>
    <row r="13" spans="1:9" ht="13.5" customHeight="1" x14ac:dyDescent="0.15">
      <c r="A13" s="356" t="s">
        <v>119</v>
      </c>
      <c r="B13" s="357"/>
      <c r="C13" s="357"/>
      <c r="D13" s="358"/>
      <c r="E13" s="336" t="str">
        <f>IF(入力!E14="","",入力!E14)</f>
        <v>建物表題登記</v>
      </c>
      <c r="F13" s="337"/>
      <c r="G13" s="337"/>
      <c r="H13" s="337"/>
      <c r="I13" s="338"/>
    </row>
    <row r="14" spans="1:9" ht="13.5" customHeight="1" thickBot="1" x14ac:dyDescent="0.2">
      <c r="A14" s="344" t="s">
        <v>34</v>
      </c>
      <c r="B14" s="345"/>
      <c r="C14" s="345"/>
      <c r="D14" s="346"/>
      <c r="E14" s="191" t="s">
        <v>36</v>
      </c>
      <c r="F14" s="191" t="s">
        <v>37</v>
      </c>
      <c r="G14" s="191" t="s">
        <v>4</v>
      </c>
      <c r="H14" s="192" t="s">
        <v>38</v>
      </c>
      <c r="I14" s="193" t="s">
        <v>39</v>
      </c>
    </row>
    <row r="15" spans="1:9" ht="13.5" customHeight="1" x14ac:dyDescent="0.15">
      <c r="A15" s="315" t="s">
        <v>40</v>
      </c>
      <c r="B15" s="350" t="s">
        <v>62</v>
      </c>
      <c r="C15" s="45" t="s">
        <v>0</v>
      </c>
      <c r="D15" s="194"/>
      <c r="E15" s="81">
        <f>IF(入力!E16="","",入力!E16)</f>
        <v>3</v>
      </c>
      <c r="F15" s="21">
        <f>入力!F16</f>
        <v>1100</v>
      </c>
      <c r="G15" s="25">
        <f>IF(入力!E16="","",入力!G16)</f>
        <v>100</v>
      </c>
      <c r="H15" s="22">
        <f>入力!H16</f>
        <v>3300</v>
      </c>
      <c r="I15" s="27" t="str">
        <f>IF(入力!I16="","",入力!I16)</f>
        <v/>
      </c>
    </row>
    <row r="16" spans="1:9" ht="13.5" customHeight="1" x14ac:dyDescent="0.15">
      <c r="A16" s="316"/>
      <c r="B16" s="351"/>
      <c r="C16" s="49" t="s">
        <v>1</v>
      </c>
      <c r="D16" s="195"/>
      <c r="E16" s="23">
        <f>IF(入力!E17="","",入力!E17)</f>
        <v>1</v>
      </c>
      <c r="F16" s="24">
        <f>入力!F17</f>
        <v>1100</v>
      </c>
      <c r="G16" s="25">
        <f>IF(入力!E17="","",入力!G17)</f>
        <v>100</v>
      </c>
      <c r="H16" s="26">
        <f>入力!H17</f>
        <v>1100</v>
      </c>
      <c r="I16" s="27" t="str">
        <f>IF(入力!I17="","",入力!I17)</f>
        <v/>
      </c>
    </row>
    <row r="17" spans="1:12" ht="13.5" customHeight="1" x14ac:dyDescent="0.15">
      <c r="A17" s="316"/>
      <c r="B17" s="351"/>
      <c r="C17" s="49" t="s">
        <v>2</v>
      </c>
      <c r="D17" s="195"/>
      <c r="E17" s="190">
        <f>IF(入力!E18="","",入力!E18)</f>
        <v>3</v>
      </c>
      <c r="F17" s="24">
        <f>入力!F18</f>
        <v>1100</v>
      </c>
      <c r="G17" s="25">
        <f>IF(入力!E18="","",入力!G18)</f>
        <v>100</v>
      </c>
      <c r="H17" s="26">
        <f>入力!H18</f>
        <v>3300</v>
      </c>
      <c r="I17" s="27" t="str">
        <f>IF(入力!I18="","",入力!I18)</f>
        <v/>
      </c>
    </row>
    <row r="18" spans="1:12" ht="13.5" customHeight="1" x14ac:dyDescent="0.15">
      <c r="A18" s="316"/>
      <c r="B18" s="352"/>
      <c r="C18" s="49" t="s">
        <v>3</v>
      </c>
      <c r="D18" s="195"/>
      <c r="E18" s="28">
        <f>IF(入力!E19="","",入力!E19)</f>
        <v>1</v>
      </c>
      <c r="F18" s="24">
        <f>入力!F19</f>
        <v>6000</v>
      </c>
      <c r="G18" s="25">
        <f>IF(入力!E19="","",入力!G19)</f>
        <v>100</v>
      </c>
      <c r="H18" s="26">
        <f>入力!H19</f>
        <v>6000</v>
      </c>
      <c r="I18" s="27" t="str">
        <f>IF(入力!I19="","",入力!I19)</f>
        <v/>
      </c>
    </row>
    <row r="19" spans="1:12" ht="13.5" customHeight="1" x14ac:dyDescent="0.15">
      <c r="A19" s="316"/>
      <c r="B19" s="353" t="s">
        <v>79</v>
      </c>
      <c r="C19" s="49" t="s">
        <v>57</v>
      </c>
      <c r="D19" s="195"/>
      <c r="E19" s="29" t="str">
        <f>IF(入力!E20="","",入力!E20)</f>
        <v/>
      </c>
      <c r="F19" s="24">
        <f>入力!F20</f>
        <v>8000</v>
      </c>
      <c r="G19" s="25" t="str">
        <f>IF(入力!E20="","",入力!G20)</f>
        <v/>
      </c>
      <c r="H19" s="26" t="str">
        <f>入力!H20</f>
        <v/>
      </c>
      <c r="I19" s="27" t="str">
        <f>IF(入力!I20="","",入力!I20)</f>
        <v>敷地境界が不明な場合の調査</v>
      </c>
    </row>
    <row r="20" spans="1:12" ht="13.5" customHeight="1" x14ac:dyDescent="0.15">
      <c r="A20" s="316"/>
      <c r="B20" s="354"/>
      <c r="C20" s="49" t="s">
        <v>58</v>
      </c>
      <c r="D20" s="195"/>
      <c r="E20" s="29" t="str">
        <f>IF(入力!E21="","",入力!E21)</f>
        <v/>
      </c>
      <c r="F20" s="24">
        <f>入力!F21</f>
        <v>10000</v>
      </c>
      <c r="G20" s="25" t="str">
        <f>IF(入力!E21="","",入力!G21)</f>
        <v/>
      </c>
      <c r="H20" s="26" t="str">
        <f>入力!H21</f>
        <v/>
      </c>
      <c r="I20" s="27" t="str">
        <f>IF(入力!I21="","",入力!I21)</f>
        <v>敷地境界が不明な場合の調査</v>
      </c>
    </row>
    <row r="21" spans="1:12" ht="13.5" customHeight="1" x14ac:dyDescent="0.15">
      <c r="A21" s="316"/>
      <c r="B21" s="355"/>
      <c r="C21" s="49" t="s">
        <v>121</v>
      </c>
      <c r="D21" s="195"/>
      <c r="E21" s="29" t="str">
        <f>IF(入力!E22="","",入力!E22)</f>
        <v/>
      </c>
      <c r="F21" s="24">
        <v>15000</v>
      </c>
      <c r="G21" s="25" t="str">
        <f>IF(入力!E22="","",入力!G22)</f>
        <v/>
      </c>
      <c r="H21" s="26" t="str">
        <f>入力!H22</f>
        <v/>
      </c>
      <c r="I21" s="27" t="str">
        <f>IF(入力!I22="","",入力!I22)</f>
        <v>敷地境界が不明な場合の調査</v>
      </c>
    </row>
    <row r="22" spans="1:12" ht="13.5" customHeight="1" thickBot="1" x14ac:dyDescent="0.2">
      <c r="A22" s="317"/>
      <c r="B22" s="196"/>
      <c r="C22" s="197"/>
      <c r="D22" s="197"/>
      <c r="E22" s="30"/>
      <c r="F22" s="31"/>
      <c r="G22" s="32" t="s">
        <v>43</v>
      </c>
      <c r="H22" s="215">
        <f>入力!H23</f>
        <v>13700</v>
      </c>
      <c r="I22" s="34" t="str">
        <f>IF(入力!I23="","",入力!I23)</f>
        <v/>
      </c>
      <c r="J22" s="2"/>
      <c r="L22" s="58"/>
    </row>
    <row r="23" spans="1:12" ht="13.5" customHeight="1" x14ac:dyDescent="0.15">
      <c r="A23" s="315" t="s">
        <v>6</v>
      </c>
      <c r="B23" s="313" t="str">
        <f>IF(入力!B24="","",入力!B24)</f>
        <v>面積測量</v>
      </c>
      <c r="C23" s="314"/>
      <c r="D23" s="198"/>
      <c r="E23" s="98">
        <f>IF(入力!E24="","",入力!E24)</f>
        <v>110</v>
      </c>
      <c r="F23" s="21">
        <f>入力!F24</f>
        <v>40000</v>
      </c>
      <c r="G23" s="25">
        <f>IF(入力!E24="","",入力!G24)</f>
        <v>100</v>
      </c>
      <c r="H23" s="213">
        <f>入力!H24</f>
        <v>40000</v>
      </c>
      <c r="I23" s="70" t="str">
        <f>IF(入力!I24="","",入力!I24)</f>
        <v/>
      </c>
      <c r="J23" s="2"/>
      <c r="L23" s="58"/>
    </row>
    <row r="24" spans="1:12" ht="13.5" customHeight="1" x14ac:dyDescent="0.15">
      <c r="A24" s="316"/>
      <c r="B24" s="313" t="str">
        <f>IF(入力!B25="","",入力!B25)</f>
        <v/>
      </c>
      <c r="C24" s="314"/>
      <c r="D24" s="199"/>
      <c r="E24" s="99" t="str">
        <f>IF(入力!E25="","",入力!E25)</f>
        <v/>
      </c>
      <c r="F24" s="24" t="str">
        <f>入力!F25</f>
        <v/>
      </c>
      <c r="G24" s="25" t="str">
        <f>IF(入力!E25="","",入力!G25)</f>
        <v/>
      </c>
      <c r="H24" s="26" t="str">
        <f>入力!H25</f>
        <v/>
      </c>
      <c r="I24" s="27" t="str">
        <f>IF(入力!I25="","",入力!I25)</f>
        <v/>
      </c>
      <c r="J24" s="2"/>
      <c r="L24" s="58"/>
    </row>
    <row r="25" spans="1:12" ht="13.5" customHeight="1" x14ac:dyDescent="0.15">
      <c r="A25" s="316"/>
      <c r="B25" s="313" t="str">
        <f>IF(入力!B26="","",入力!B26)</f>
        <v/>
      </c>
      <c r="C25" s="314"/>
      <c r="D25" s="199"/>
      <c r="E25" s="99" t="str">
        <f>IF(入力!E26="","",入力!E26)</f>
        <v/>
      </c>
      <c r="F25" s="24" t="str">
        <f>入力!F26</f>
        <v/>
      </c>
      <c r="G25" s="25" t="str">
        <f>IF(入力!E26="","",入力!G26)</f>
        <v/>
      </c>
      <c r="H25" s="26" t="str">
        <f>入力!H26</f>
        <v/>
      </c>
      <c r="I25" s="27" t="str">
        <f>IF(入力!I26="","",入力!I26)</f>
        <v/>
      </c>
      <c r="J25" s="2"/>
      <c r="L25" s="58"/>
    </row>
    <row r="26" spans="1:12" ht="13.5" customHeight="1" x14ac:dyDescent="0.15">
      <c r="A26" s="316"/>
      <c r="B26" s="313" t="str">
        <f>IF(入力!B27="","",入力!B27)</f>
        <v/>
      </c>
      <c r="C26" s="314"/>
      <c r="D26" s="199"/>
      <c r="E26" s="99" t="str">
        <f>IF(入力!E27="","",入力!E27)</f>
        <v/>
      </c>
      <c r="F26" s="24" t="str">
        <f>入力!F27</f>
        <v/>
      </c>
      <c r="G26" s="25" t="str">
        <f>IF(入力!E27="","",入力!G27)</f>
        <v/>
      </c>
      <c r="H26" s="26" t="str">
        <f>入力!H27</f>
        <v/>
      </c>
      <c r="I26" s="27" t="str">
        <f>IF(入力!I27="","",入力!I27)</f>
        <v/>
      </c>
      <c r="J26" s="2"/>
      <c r="L26" s="58"/>
    </row>
    <row r="27" spans="1:12" ht="13.5" customHeight="1" thickBot="1" x14ac:dyDescent="0.2">
      <c r="A27" s="317"/>
      <c r="B27" s="53"/>
      <c r="C27" s="197"/>
      <c r="D27" s="197"/>
      <c r="E27" s="30"/>
      <c r="F27" s="30"/>
      <c r="G27" s="32" t="s">
        <v>43</v>
      </c>
      <c r="H27" s="214">
        <f>入力!H28</f>
        <v>40000</v>
      </c>
      <c r="I27" s="34" t="str">
        <f>IF(入力!I28="","",入力!I28)</f>
        <v/>
      </c>
      <c r="J27" s="2"/>
      <c r="L27" s="58"/>
    </row>
    <row r="28" spans="1:12" ht="13.5" customHeight="1" x14ac:dyDescent="0.15">
      <c r="A28" s="315" t="s">
        <v>7</v>
      </c>
      <c r="B28" s="342" t="str">
        <f>入力!B29</f>
        <v>表題</v>
      </c>
      <c r="C28" s="343"/>
      <c r="D28" s="200" t="s">
        <v>23</v>
      </c>
      <c r="E28" s="28">
        <f>IF(入力!E29="","",入力!E29)</f>
        <v>1</v>
      </c>
      <c r="F28" s="21">
        <f>入力!F29</f>
        <v>25000</v>
      </c>
      <c r="G28" s="333">
        <f>IF(入力!E29+入力!E30+入力!E31=0,"",入力!G29)</f>
        <v>100</v>
      </c>
      <c r="H28" s="335">
        <f>入力!H29</f>
        <v>30000</v>
      </c>
      <c r="I28" s="70" t="str">
        <f>IF(入力!I29="","",入力!I29)</f>
        <v>1棟1階</v>
      </c>
      <c r="J28" s="2"/>
      <c r="L28" s="58"/>
    </row>
    <row r="29" spans="1:12" ht="13.5" customHeight="1" x14ac:dyDescent="0.15">
      <c r="A29" s="316"/>
      <c r="B29" s="324"/>
      <c r="C29" s="325"/>
      <c r="D29" s="201" t="s">
        <v>24</v>
      </c>
      <c r="E29" s="95" t="str">
        <f>IF(入力!E30="","",入力!E30)</f>
        <v/>
      </c>
      <c r="F29" s="24">
        <f>入力!F30</f>
        <v>6000</v>
      </c>
      <c r="G29" s="334"/>
      <c r="H29" s="311"/>
      <c r="I29" s="70" t="str">
        <f>IF(入力!I30="","",入力!I30)</f>
        <v>附属建物1棟1階増加ごと</v>
      </c>
      <c r="J29" s="2"/>
      <c r="L29" s="58"/>
    </row>
    <row r="30" spans="1:12" ht="13.5" customHeight="1" x14ac:dyDescent="0.15">
      <c r="A30" s="316"/>
      <c r="B30" s="326"/>
      <c r="C30" s="327"/>
      <c r="D30" s="201" t="s">
        <v>24</v>
      </c>
      <c r="E30" s="96">
        <f>IF(入力!E31="","",入力!E31)</f>
        <v>1</v>
      </c>
      <c r="F30" s="24">
        <f>入力!F31</f>
        <v>5000</v>
      </c>
      <c r="G30" s="334"/>
      <c r="H30" s="312"/>
      <c r="I30" s="70" t="str">
        <f>IF(入力!I31="","",入力!I31)</f>
        <v>1階増加ごと</v>
      </c>
      <c r="J30" s="2"/>
      <c r="L30" s="58"/>
    </row>
    <row r="31" spans="1:12" ht="13.5" customHeight="1" x14ac:dyDescent="0.15">
      <c r="A31" s="316"/>
      <c r="B31" s="322" t="str">
        <f>入力!B32</f>
        <v>表示変更・更正</v>
      </c>
      <c r="C31" s="323"/>
      <c r="D31" s="202" t="s">
        <v>23</v>
      </c>
      <c r="E31" s="28" t="str">
        <f>IF(入力!E32="","",入力!E32)</f>
        <v/>
      </c>
      <c r="F31" s="24">
        <f>入力!F32</f>
        <v>25000</v>
      </c>
      <c r="G31" s="334" t="str">
        <f>IF(入力!E32+入力!E33+入力!E34=0,"",入力!G32)</f>
        <v/>
      </c>
      <c r="H31" s="310" t="str">
        <f>入力!H32</f>
        <v/>
      </c>
      <c r="I31" s="70" t="str">
        <f>IF(入力!I32="","",入力!I32)</f>
        <v>1棟1階</v>
      </c>
      <c r="J31" s="2"/>
      <c r="L31" s="58"/>
    </row>
    <row r="32" spans="1:12" ht="13.5" customHeight="1" x14ac:dyDescent="0.15">
      <c r="A32" s="316"/>
      <c r="B32" s="324"/>
      <c r="C32" s="325"/>
      <c r="D32" s="202" t="s">
        <v>24</v>
      </c>
      <c r="E32" s="95" t="str">
        <f>IF(入力!E33="","",入力!E33)</f>
        <v/>
      </c>
      <c r="F32" s="24">
        <f>入力!F33</f>
        <v>6000</v>
      </c>
      <c r="G32" s="334"/>
      <c r="H32" s="311"/>
      <c r="I32" s="70" t="str">
        <f>IF(入力!I33="","",入力!I33)</f>
        <v>附属建物1棟1階増加ごと</v>
      </c>
      <c r="J32" s="2"/>
      <c r="L32" s="58"/>
    </row>
    <row r="33" spans="1:12" ht="13.5" customHeight="1" x14ac:dyDescent="0.15">
      <c r="A33" s="316"/>
      <c r="B33" s="326"/>
      <c r="C33" s="327"/>
      <c r="D33" s="202" t="s">
        <v>24</v>
      </c>
      <c r="E33" s="96" t="str">
        <f>IF(入力!E34="","",入力!E34)</f>
        <v/>
      </c>
      <c r="F33" s="24">
        <f>入力!F34</f>
        <v>5000</v>
      </c>
      <c r="G33" s="334"/>
      <c r="H33" s="312"/>
      <c r="I33" s="70" t="str">
        <f>IF(入力!I34="","",入力!I34)</f>
        <v>1階増加ごと</v>
      </c>
      <c r="J33" s="2"/>
      <c r="K33" s="59"/>
      <c r="L33" s="58"/>
    </row>
    <row r="34" spans="1:12" ht="13.5" customHeight="1" x14ac:dyDescent="0.15">
      <c r="A34" s="316"/>
      <c r="B34" s="328" t="str">
        <f>入力!B35</f>
        <v>表示変更・更正
（図面不要）</v>
      </c>
      <c r="C34" s="323"/>
      <c r="D34" s="202" t="s">
        <v>23</v>
      </c>
      <c r="E34" s="28" t="str">
        <f>IF(入力!E35="","",入力!E35)</f>
        <v/>
      </c>
      <c r="F34" s="24">
        <f>入力!F35</f>
        <v>20000</v>
      </c>
      <c r="G34" s="329" t="str">
        <f>IF(入力!E35+入力!E36=0,"",入力!G35)</f>
        <v/>
      </c>
      <c r="H34" s="332" t="str">
        <f>入力!H35</f>
        <v/>
      </c>
      <c r="I34" s="70" t="str">
        <f>IF(入力!I35="","",入力!I35)</f>
        <v>1棟</v>
      </c>
      <c r="J34" s="2"/>
      <c r="K34" s="60"/>
      <c r="L34" s="58"/>
    </row>
    <row r="35" spans="1:12" ht="13.5" customHeight="1" x14ac:dyDescent="0.15">
      <c r="A35" s="316"/>
      <c r="B35" s="324"/>
      <c r="C35" s="325"/>
      <c r="D35" s="202" t="s">
        <v>24</v>
      </c>
      <c r="E35" s="97" t="str">
        <f>IF(入力!E36="","",入力!E36)</f>
        <v/>
      </c>
      <c r="F35" s="24">
        <f>入力!F36</f>
        <v>1000</v>
      </c>
      <c r="G35" s="330"/>
      <c r="H35" s="332"/>
      <c r="I35" s="70" t="str">
        <f>IF(入力!I36="","",入力!I36)</f>
        <v>附属建物1棟増加ごと</v>
      </c>
      <c r="J35" s="2"/>
      <c r="K35" s="61"/>
      <c r="L35" s="58"/>
    </row>
    <row r="36" spans="1:12" ht="13.5" customHeight="1" x14ac:dyDescent="0.15">
      <c r="A36" s="316"/>
      <c r="B36" s="322" t="str">
        <f>入力!B37</f>
        <v>滅失</v>
      </c>
      <c r="C36" s="323"/>
      <c r="D36" s="202" t="s">
        <v>23</v>
      </c>
      <c r="E36" s="28" t="str">
        <f>IF(入力!E37="","",入力!E37)</f>
        <v/>
      </c>
      <c r="F36" s="24">
        <f>入力!F37</f>
        <v>20000</v>
      </c>
      <c r="G36" s="329" t="str">
        <f>IF(入力!E37+入力!E38=0,"",入力!G37)</f>
        <v/>
      </c>
      <c r="H36" s="332" t="str">
        <f>入力!H37</f>
        <v/>
      </c>
      <c r="I36" s="70" t="str">
        <f>IF(入力!I37="","",入力!I37)</f>
        <v>1棟</v>
      </c>
      <c r="J36" s="2"/>
      <c r="K36" s="61"/>
      <c r="L36" s="58"/>
    </row>
    <row r="37" spans="1:12" ht="13.5" customHeight="1" x14ac:dyDescent="0.15">
      <c r="A37" s="316"/>
      <c r="B37" s="326"/>
      <c r="C37" s="327"/>
      <c r="D37" s="202" t="s">
        <v>24</v>
      </c>
      <c r="E37" s="97" t="str">
        <f>IF(入力!E38="","",入力!E38)</f>
        <v/>
      </c>
      <c r="F37" s="24">
        <f>入力!F38</f>
        <v>1000</v>
      </c>
      <c r="G37" s="330"/>
      <c r="H37" s="332"/>
      <c r="I37" s="70" t="str">
        <f>IF(入力!I38="","",入力!I38)</f>
        <v>附属建物1棟増加ごと</v>
      </c>
      <c r="J37" s="2"/>
      <c r="K37" s="61"/>
      <c r="L37" s="58"/>
    </row>
    <row r="38" spans="1:12" ht="13.5" customHeight="1" x14ac:dyDescent="0.15">
      <c r="A38" s="316"/>
      <c r="B38" s="322" t="str">
        <f>IF(入力!B39="","",入力!B39)</f>
        <v/>
      </c>
      <c r="C38" s="323"/>
      <c r="D38" s="202" t="s">
        <v>23</v>
      </c>
      <c r="E38" s="28" t="str">
        <f>IF(入力!E39="","",入力!E39)</f>
        <v/>
      </c>
      <c r="F38" s="24">
        <f>入力!F39</f>
        <v>15000</v>
      </c>
      <c r="G38" s="329" t="str">
        <f>IF(入力!E39+入力!E40+入力!E41+入力!E42+入力!E43=0,"",入力!G39)</f>
        <v/>
      </c>
      <c r="H38" s="310" t="str">
        <f>入力!H39</f>
        <v/>
      </c>
      <c r="I38" s="70" t="str">
        <f>IF(入力!I39="","",入力!I39)</f>
        <v/>
      </c>
      <c r="J38" s="2"/>
      <c r="K38" s="61"/>
      <c r="L38" s="58"/>
    </row>
    <row r="39" spans="1:12" ht="13.5" customHeight="1" x14ac:dyDescent="0.15">
      <c r="A39" s="316"/>
      <c r="B39" s="324"/>
      <c r="C39" s="325"/>
      <c r="D39" s="202" t="s">
        <v>24</v>
      </c>
      <c r="E39" s="234" t="str">
        <f>IF(入力!E40="","",入力!E40)</f>
        <v/>
      </c>
      <c r="F39" s="24">
        <f>入力!F40</f>
        <v>0</v>
      </c>
      <c r="G39" s="331"/>
      <c r="H39" s="311"/>
      <c r="I39" s="70" t="str">
        <f>IF(入力!I40="","",入力!I40)</f>
        <v/>
      </c>
      <c r="J39" s="2"/>
      <c r="K39" s="61"/>
      <c r="L39" s="58"/>
    </row>
    <row r="40" spans="1:12" ht="13.5" customHeight="1" x14ac:dyDescent="0.15">
      <c r="A40" s="316"/>
      <c r="B40" s="324"/>
      <c r="C40" s="325"/>
      <c r="D40" s="202" t="s">
        <v>24</v>
      </c>
      <c r="E40" s="80" t="str">
        <f>IF(入力!E41="","",入力!E41)</f>
        <v/>
      </c>
      <c r="F40" s="24">
        <f>入力!F41</f>
        <v>0</v>
      </c>
      <c r="G40" s="331"/>
      <c r="H40" s="311"/>
      <c r="I40" s="70" t="str">
        <f>IF(入力!I41="","",入力!I41)</f>
        <v/>
      </c>
      <c r="K40" s="2"/>
    </row>
    <row r="41" spans="1:12" ht="13.5" customHeight="1" x14ac:dyDescent="0.15">
      <c r="A41" s="316"/>
      <c r="B41" s="324"/>
      <c r="C41" s="325"/>
      <c r="D41" s="202" t="s">
        <v>24</v>
      </c>
      <c r="E41" s="80" t="str">
        <f>IF(入力!E42="","",入力!E42)</f>
        <v/>
      </c>
      <c r="F41" s="24">
        <f>入力!F42</f>
        <v>0</v>
      </c>
      <c r="G41" s="331"/>
      <c r="H41" s="311"/>
      <c r="I41" s="70" t="str">
        <f>IF(入力!I42="","",入力!I42)</f>
        <v/>
      </c>
      <c r="K41" s="2"/>
    </row>
    <row r="42" spans="1:12" ht="13.5" customHeight="1" x14ac:dyDescent="0.15">
      <c r="A42" s="316"/>
      <c r="B42" s="326"/>
      <c r="C42" s="327"/>
      <c r="D42" s="203" t="s">
        <v>24</v>
      </c>
      <c r="E42" s="80" t="str">
        <f>IF(入力!E43="","",入力!E43)</f>
        <v/>
      </c>
      <c r="F42" s="24">
        <f>入力!F43</f>
        <v>0</v>
      </c>
      <c r="G42" s="330"/>
      <c r="H42" s="312"/>
      <c r="I42" s="70" t="str">
        <f>IF(入力!I43="","",入力!I43)</f>
        <v/>
      </c>
      <c r="K42" s="2"/>
    </row>
    <row r="43" spans="1:12" ht="13.5" customHeight="1" x14ac:dyDescent="0.15">
      <c r="A43" s="316"/>
      <c r="B43" s="313" t="str">
        <f>入力!B44</f>
        <v>現地調査費</v>
      </c>
      <c r="C43" s="314"/>
      <c r="D43" s="195"/>
      <c r="E43" s="28">
        <f>IF(入力!E44="","",入力!E44)</f>
        <v>1</v>
      </c>
      <c r="F43" s="24">
        <f>入力!F44</f>
        <v>18000</v>
      </c>
      <c r="G43" s="25">
        <f>IF(入力!E44="","",入力!G44)</f>
        <v>100</v>
      </c>
      <c r="H43" s="26">
        <f>入力!H44</f>
        <v>18000</v>
      </c>
      <c r="I43" s="70" t="str">
        <f>IF(入力!I44="","",入力!I44)</f>
        <v/>
      </c>
    </row>
    <row r="44" spans="1:12" ht="13.5" customHeight="1" thickBot="1" x14ac:dyDescent="0.2">
      <c r="A44" s="317"/>
      <c r="B44" s="53"/>
      <c r="C44" s="197"/>
      <c r="D44" s="197"/>
      <c r="E44" s="30"/>
      <c r="F44" s="31"/>
      <c r="G44" s="32" t="s">
        <v>43</v>
      </c>
      <c r="H44" s="33">
        <f>入力!H45</f>
        <v>48000</v>
      </c>
      <c r="I44" s="34" t="str">
        <f>IF(入力!I45="","",入力!I45)</f>
        <v/>
      </c>
    </row>
    <row r="45" spans="1:12" ht="13.5" customHeight="1" x14ac:dyDescent="0.15">
      <c r="A45" s="315" t="s">
        <v>32</v>
      </c>
      <c r="B45" s="320" t="str">
        <f>入力!B46</f>
        <v>調査報告書</v>
      </c>
      <c r="C45" s="321"/>
      <c r="D45" s="204"/>
      <c r="E45" s="35">
        <f>IF(入力!E46="","",入力!E46)</f>
        <v>1</v>
      </c>
      <c r="F45" s="21">
        <f>入力!F46</f>
        <v>6000</v>
      </c>
      <c r="G45" s="25">
        <f>IF(入力!E46="","",入力!G46)</f>
        <v>100</v>
      </c>
      <c r="H45" s="26">
        <f>入力!H46</f>
        <v>6000</v>
      </c>
      <c r="I45" s="70" t="str">
        <f>IF(入力!I46="","",入力!I46)</f>
        <v/>
      </c>
      <c r="J45" s="2"/>
    </row>
    <row r="46" spans="1:12" ht="13.5" customHeight="1" x14ac:dyDescent="0.15">
      <c r="A46" s="316"/>
      <c r="B46" s="318" t="str">
        <f>入力!B47</f>
        <v>原本の複製</v>
      </c>
      <c r="C46" s="319"/>
      <c r="D46" s="205"/>
      <c r="E46" s="35">
        <f>IF(入力!E47="","",入力!E47)</f>
        <v>4</v>
      </c>
      <c r="F46" s="24">
        <f>入力!F47</f>
        <v>1000</v>
      </c>
      <c r="G46" s="25">
        <f>IF(入力!E47="","",入力!G47)</f>
        <v>100</v>
      </c>
      <c r="H46" s="26">
        <f>入力!H47</f>
        <v>4000</v>
      </c>
      <c r="I46" s="27" t="str">
        <f>IF(入力!I47="","",入力!I47)</f>
        <v/>
      </c>
      <c r="J46" s="2"/>
    </row>
    <row r="47" spans="1:12" ht="13.5" customHeight="1" x14ac:dyDescent="0.15">
      <c r="A47" s="316"/>
      <c r="B47" s="318" t="str">
        <f>入力!B48</f>
        <v>工事完了引渡証明</v>
      </c>
      <c r="C47" s="319"/>
      <c r="D47" s="205"/>
      <c r="E47" s="35">
        <f>IF(入力!E48="","",入力!E48)</f>
        <v>1</v>
      </c>
      <c r="F47" s="24">
        <f>入力!F48</f>
        <v>5000</v>
      </c>
      <c r="G47" s="25">
        <f>IF(入力!E48="","",入力!G48)</f>
        <v>100</v>
      </c>
      <c r="H47" s="26">
        <f>入力!H48</f>
        <v>5000</v>
      </c>
      <c r="I47" s="27" t="str">
        <f>IF(入力!I48="","",入力!I48)</f>
        <v/>
      </c>
      <c r="J47" s="2"/>
    </row>
    <row r="48" spans="1:12" ht="13.5" customHeight="1" x14ac:dyDescent="0.15">
      <c r="A48" s="316"/>
      <c r="B48" s="318" t="str">
        <f>入力!B49</f>
        <v>申述書</v>
      </c>
      <c r="C48" s="319"/>
      <c r="D48" s="205"/>
      <c r="E48" s="35">
        <f>IF(入力!E49="","",入力!E49)</f>
        <v>1</v>
      </c>
      <c r="F48" s="24">
        <f>入力!F49</f>
        <v>5000</v>
      </c>
      <c r="G48" s="25">
        <f>IF(入力!E49="","",入力!G49)</f>
        <v>100</v>
      </c>
      <c r="H48" s="26">
        <f>入力!H49</f>
        <v>5000</v>
      </c>
      <c r="I48" s="27" t="str">
        <f>IF(入力!I49="","",入力!I49)</f>
        <v/>
      </c>
      <c r="J48" s="2"/>
    </row>
    <row r="49" spans="1:10" ht="13.5" customHeight="1" x14ac:dyDescent="0.15">
      <c r="A49" s="316"/>
      <c r="B49" s="318" t="str">
        <f>入力!B50</f>
        <v/>
      </c>
      <c r="C49" s="319"/>
      <c r="D49" s="205"/>
      <c r="E49" s="35" t="str">
        <f>IF(入力!E50="","",入力!E50)</f>
        <v/>
      </c>
      <c r="F49" s="24" t="str">
        <f>入力!F50</f>
        <v/>
      </c>
      <c r="G49" s="25" t="str">
        <f>IF(入力!E50="","",入力!G50)</f>
        <v/>
      </c>
      <c r="H49" s="26" t="str">
        <f>入力!H50</f>
        <v/>
      </c>
      <c r="I49" s="27" t="str">
        <f>IF(入力!I50="","",入力!I50)</f>
        <v/>
      </c>
      <c r="J49" s="2"/>
    </row>
    <row r="50" spans="1:10" ht="13.5" customHeight="1" thickBot="1" x14ac:dyDescent="0.2">
      <c r="A50" s="317"/>
      <c r="B50" s="53"/>
      <c r="C50" s="197"/>
      <c r="D50" s="197"/>
      <c r="E50" s="30"/>
      <c r="F50" s="30"/>
      <c r="G50" s="32" t="s">
        <v>43</v>
      </c>
      <c r="H50" s="214">
        <f>入力!H51</f>
        <v>20000</v>
      </c>
      <c r="I50" s="34" t="str">
        <f>IF(入力!I51="","",入力!I51)</f>
        <v/>
      </c>
      <c r="J50" s="2"/>
    </row>
    <row r="51" spans="1:10" ht="13.5" customHeight="1" thickBot="1" x14ac:dyDescent="0.2">
      <c r="A51" s="206"/>
      <c r="B51" s="207"/>
      <c r="C51" s="208" t="s">
        <v>33</v>
      </c>
      <c r="D51" s="209"/>
      <c r="E51" s="37">
        <f>入力!E52</f>
        <v>0</v>
      </c>
      <c r="F51" s="38">
        <f>入力!F52</f>
        <v>200</v>
      </c>
      <c r="G51" s="39"/>
      <c r="H51" s="216">
        <f>入力!H52</f>
        <v>0</v>
      </c>
      <c r="I51" s="222" t="str">
        <f>IF(入力!I52="","",入力!I52)</f>
        <v/>
      </c>
      <c r="J51" s="2"/>
    </row>
    <row r="52" spans="1:10" ht="13.5" customHeight="1" thickBot="1" x14ac:dyDescent="0.2">
      <c r="A52" s="206"/>
      <c r="B52" s="207"/>
      <c r="C52" s="208"/>
      <c r="D52" s="208"/>
      <c r="E52" s="36"/>
      <c r="F52" s="36"/>
      <c r="G52" s="40" t="s">
        <v>42</v>
      </c>
      <c r="H52" s="217">
        <f>入力!H53</f>
        <v>121700</v>
      </c>
      <c r="I52" s="34" t="str">
        <f>IF(入力!I53="","",入力!I53)</f>
        <v/>
      </c>
      <c r="J52" s="2"/>
    </row>
    <row r="53" spans="1:10" ht="13.5" customHeight="1" thickBot="1" x14ac:dyDescent="0.2">
      <c r="A53" s="210"/>
      <c r="B53" s="211"/>
      <c r="C53" s="212"/>
      <c r="D53" s="212"/>
      <c r="E53" s="41"/>
      <c r="F53" s="41"/>
      <c r="G53" s="42" t="s">
        <v>41</v>
      </c>
      <c r="H53" s="218">
        <f>入力!H54</f>
        <v>0</v>
      </c>
      <c r="I53" s="34" t="str">
        <f>IF(入力!I54="","",入力!I54)</f>
        <v/>
      </c>
      <c r="J53" s="2"/>
    </row>
    <row r="54" spans="1:10" ht="13.5" customHeight="1" x14ac:dyDescent="0.15">
      <c r="A54" s="43" t="s">
        <v>46</v>
      </c>
      <c r="B54" s="44"/>
      <c r="C54" s="45" t="s">
        <v>45</v>
      </c>
      <c r="D54" s="45"/>
      <c r="E54" s="46"/>
      <c r="F54" s="46"/>
      <c r="G54" s="44"/>
      <c r="H54" s="219">
        <f>入力!H55</f>
        <v>121700</v>
      </c>
      <c r="I54" s="27" t="str">
        <f>IF(入力!I55="","",入力!I55)</f>
        <v/>
      </c>
    </row>
    <row r="55" spans="1:10" ht="13.5" customHeight="1" x14ac:dyDescent="0.15">
      <c r="A55" s="47" t="s">
        <v>47</v>
      </c>
      <c r="B55" s="48"/>
      <c r="C55" s="49" t="s">
        <v>9</v>
      </c>
      <c r="D55" s="49"/>
      <c r="E55" s="50" t="s">
        <v>131</v>
      </c>
      <c r="F55" s="50"/>
      <c r="G55" s="48"/>
      <c r="H55" s="220">
        <f>入力!H56</f>
        <v>12170</v>
      </c>
      <c r="I55" s="27" t="str">
        <f>IF(入力!I56="","",入力!I56)</f>
        <v/>
      </c>
    </row>
    <row r="56" spans="1:10" ht="13.5" customHeight="1" x14ac:dyDescent="0.15">
      <c r="A56" s="47" t="s">
        <v>48</v>
      </c>
      <c r="B56" s="48"/>
      <c r="C56" s="49" t="s">
        <v>8</v>
      </c>
      <c r="D56" s="49"/>
      <c r="E56" s="50" t="s">
        <v>44</v>
      </c>
      <c r="F56" s="50"/>
      <c r="G56" s="48"/>
      <c r="H56" s="220">
        <f>入力!H57</f>
        <v>133870</v>
      </c>
      <c r="I56" s="27" t="str">
        <f>IF(入力!I57="","",入力!I57)</f>
        <v/>
      </c>
    </row>
    <row r="57" spans="1:10" ht="13.5" customHeight="1" x14ac:dyDescent="0.15">
      <c r="A57" s="47" t="s">
        <v>26</v>
      </c>
      <c r="B57" s="48"/>
      <c r="C57" s="49" t="s">
        <v>11</v>
      </c>
      <c r="D57" s="51" t="str">
        <f>入力!D58</f>
        <v/>
      </c>
      <c r="E57" s="50"/>
      <c r="F57" s="50"/>
      <c r="G57" s="48"/>
      <c r="H57" s="220" t="str">
        <f>入力!H58</f>
        <v>　　　　―</v>
      </c>
      <c r="I57" s="27" t="str">
        <f>IF(入力!I58="","",入力!I58)</f>
        <v/>
      </c>
    </row>
    <row r="58" spans="1:10" ht="13.5" customHeight="1" x14ac:dyDescent="0.15">
      <c r="A58" s="47" t="s">
        <v>20</v>
      </c>
      <c r="B58" s="48"/>
      <c r="C58" s="49" t="s">
        <v>12</v>
      </c>
      <c r="D58" s="49"/>
      <c r="E58" s="50" t="s">
        <v>49</v>
      </c>
      <c r="F58" s="50"/>
      <c r="G58" s="48"/>
      <c r="H58" s="220">
        <f>入力!H59</f>
        <v>133870</v>
      </c>
      <c r="I58" s="27" t="str">
        <f>IF(入力!I59="","",入力!I59)</f>
        <v/>
      </c>
    </row>
    <row r="59" spans="1:10" ht="13.5" customHeight="1" x14ac:dyDescent="0.15">
      <c r="A59" s="309" t="s">
        <v>21</v>
      </c>
      <c r="B59" s="48"/>
      <c r="C59" s="49" t="s">
        <v>13</v>
      </c>
      <c r="D59" s="49"/>
      <c r="E59" s="50"/>
      <c r="F59" s="50"/>
      <c r="G59" s="48"/>
      <c r="H59" s="220">
        <f>入力!H60</f>
        <v>0</v>
      </c>
      <c r="I59" s="27" t="str">
        <f>IF(入力!I60="","",入力!I60)</f>
        <v/>
      </c>
    </row>
    <row r="60" spans="1:10" ht="13.5" customHeight="1" x14ac:dyDescent="0.15">
      <c r="A60" s="309"/>
      <c r="B60" s="48"/>
      <c r="C60" s="49" t="s">
        <v>14</v>
      </c>
      <c r="D60" s="49"/>
      <c r="E60" s="50"/>
      <c r="F60" s="50"/>
      <c r="G60" s="48"/>
      <c r="H60" s="220">
        <f>入力!H61</f>
        <v>0</v>
      </c>
      <c r="I60" s="27" t="str">
        <f>IF(入力!I61="","",入力!I61)</f>
        <v/>
      </c>
    </row>
    <row r="61" spans="1:10" ht="13.5" customHeight="1" x14ac:dyDescent="0.15">
      <c r="A61" s="309"/>
      <c r="B61" s="48"/>
      <c r="C61" s="49" t="s">
        <v>10</v>
      </c>
      <c r="D61" s="49"/>
      <c r="E61" s="50"/>
      <c r="F61" s="50"/>
      <c r="G61" s="48"/>
      <c r="H61" s="220">
        <f>入力!H62</f>
        <v>0</v>
      </c>
      <c r="I61" s="27" t="str">
        <f>IF(入力!I62="","",入力!I62)</f>
        <v/>
      </c>
    </row>
    <row r="62" spans="1:10" ht="13.5" customHeight="1" x14ac:dyDescent="0.15">
      <c r="A62" s="47" t="s">
        <v>107</v>
      </c>
      <c r="B62" s="48"/>
      <c r="C62" s="49" t="s">
        <v>16</v>
      </c>
      <c r="D62" s="49"/>
      <c r="E62" s="50" t="s">
        <v>50</v>
      </c>
      <c r="F62" s="50"/>
      <c r="G62" s="48"/>
      <c r="H62" s="220">
        <f>入力!H63</f>
        <v>133870</v>
      </c>
      <c r="I62" s="27" t="str">
        <f>IF(入力!I63="","",入力!I63)</f>
        <v/>
      </c>
    </row>
    <row r="63" spans="1:10" ht="13.5" customHeight="1" x14ac:dyDescent="0.15">
      <c r="A63" s="47" t="s">
        <v>22</v>
      </c>
      <c r="B63" s="48"/>
      <c r="C63" s="49" t="s">
        <v>17</v>
      </c>
      <c r="D63" s="49"/>
      <c r="E63" s="50"/>
      <c r="F63" s="50"/>
      <c r="G63" s="48"/>
      <c r="H63" s="220">
        <f>入力!H64</f>
        <v>0</v>
      </c>
      <c r="I63" s="27" t="str">
        <f>IF(入力!I64="","",入力!I64)</f>
        <v/>
      </c>
    </row>
    <row r="64" spans="1:10" ht="13.5" customHeight="1" thickBot="1" x14ac:dyDescent="0.2">
      <c r="A64" s="52" t="s">
        <v>15</v>
      </c>
      <c r="B64" s="53"/>
      <c r="C64" s="54" t="s">
        <v>18</v>
      </c>
      <c r="D64" s="54"/>
      <c r="E64" s="55" t="s">
        <v>56</v>
      </c>
      <c r="F64" s="55"/>
      <c r="G64" s="53"/>
      <c r="H64" s="221">
        <f>入力!H65</f>
        <v>133870</v>
      </c>
      <c r="I64" s="34" t="str">
        <f>IF(入力!I65="","",入力!I65)</f>
        <v/>
      </c>
    </row>
    <row r="65" spans="1:9" ht="13.5" customHeight="1" x14ac:dyDescent="0.15">
      <c r="A65" s="17" t="s">
        <v>129</v>
      </c>
      <c r="C65" s="17" t="str">
        <f>入力!I5</f>
        <v>Y2026-018</v>
      </c>
      <c r="D65" s="59"/>
      <c r="E65" s="17" t="str">
        <f>IF(入力!I4="青山紘一","　　　土地家屋調査士 青山紘一 事務所",IF(入力!I4="青山貴洋","　　　土地家屋調査士 青山貴洋 事務所",IF(入力!I4="山本真基","　　　土地家屋調査士 山本真基 事務所",IF(入力!I4="尾﨑敬介","　　　土地家屋調査士 尾﨑敬介 事務所"))))</f>
        <v>　　　土地家屋調査士 山本真基 事務所</v>
      </c>
      <c r="F65" s="59"/>
      <c r="H65" s="57"/>
      <c r="I65" s="56" t="s">
        <v>136</v>
      </c>
    </row>
    <row r="66" spans="1:9" ht="15" customHeight="1" x14ac:dyDescent="0.15">
      <c r="A66" s="17" t="s">
        <v>138</v>
      </c>
    </row>
  </sheetData>
  <mergeCells count="45">
    <mergeCell ref="A7:D7"/>
    <mergeCell ref="B11:D11"/>
    <mergeCell ref="A8:D8"/>
    <mergeCell ref="A9:D9"/>
    <mergeCell ref="G7:I7"/>
    <mergeCell ref="G9:I9"/>
    <mergeCell ref="G10:I10"/>
    <mergeCell ref="G11:I11"/>
    <mergeCell ref="A59:A61"/>
    <mergeCell ref="A45:A50"/>
    <mergeCell ref="B46:C46"/>
    <mergeCell ref="B45:C45"/>
    <mergeCell ref="B43:C43"/>
    <mergeCell ref="B47:C47"/>
    <mergeCell ref="B49:C49"/>
    <mergeCell ref="A28:A44"/>
    <mergeCell ref="B31:C33"/>
    <mergeCell ref="B48:C48"/>
    <mergeCell ref="B34:C35"/>
    <mergeCell ref="B25:C25"/>
    <mergeCell ref="B26:C26"/>
    <mergeCell ref="B36:C37"/>
    <mergeCell ref="G34:G35"/>
    <mergeCell ref="G36:G37"/>
    <mergeCell ref="G38:G42"/>
    <mergeCell ref="H36:H37"/>
    <mergeCell ref="H38:H42"/>
    <mergeCell ref="B38:C42"/>
    <mergeCell ref="H34:H35"/>
    <mergeCell ref="A13:D13"/>
    <mergeCell ref="H28:H30"/>
    <mergeCell ref="H31:H33"/>
    <mergeCell ref="E12:I12"/>
    <mergeCell ref="A23:A27"/>
    <mergeCell ref="A14:D14"/>
    <mergeCell ref="A12:D12"/>
    <mergeCell ref="B23:C23"/>
    <mergeCell ref="B15:B18"/>
    <mergeCell ref="B24:C24"/>
    <mergeCell ref="A15:A22"/>
    <mergeCell ref="E13:I13"/>
    <mergeCell ref="G28:G30"/>
    <mergeCell ref="B19:B21"/>
    <mergeCell ref="G31:G33"/>
    <mergeCell ref="B28:C30"/>
  </mergeCells>
  <phoneticPr fontId="2"/>
  <dataValidations count="2">
    <dataValidation imeMode="off" allowBlank="1" showInputMessage="1" showErrorMessage="1" sqref="E15:E64" xr:uid="{00000000-0002-0000-0100-000000000000}"/>
    <dataValidation imeMode="on" allowBlank="1" showInputMessage="1" showErrorMessage="1" sqref="I15:I64 A9:C9" xr:uid="{00000000-0002-0000-0100-000001000000}"/>
  </dataValidations>
  <printOptions horizontalCentered="1"/>
  <pageMargins left="0.39370078740157483" right="0" top="0.59055118110236227" bottom="0" header="0" footer="0"/>
  <pageSetup paperSize="9" scale="9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6"/>
  <sheetViews>
    <sheetView tabSelected="1" zoomScaleNormal="100" zoomScaleSheetLayoutView="100" workbookViewId="0">
      <selection activeCell="N57" sqref="N57"/>
    </sheetView>
  </sheetViews>
  <sheetFormatPr defaultColWidth="9" defaultRowHeight="12" x14ac:dyDescent="0.15"/>
  <cols>
    <col min="1" max="2" width="3.75" style="1" customWidth="1"/>
    <col min="3" max="3" width="12.5" style="1" customWidth="1"/>
    <col min="4" max="4" width="4.375" style="1" customWidth="1"/>
    <col min="5" max="7" width="10" style="1" customWidth="1"/>
    <col min="8" max="8" width="12.5" style="1" customWidth="1"/>
    <col min="9" max="9" width="26.25" style="1" customWidth="1"/>
    <col min="10" max="10" width="2.5" style="1" customWidth="1"/>
    <col min="11" max="11" width="14.875" style="1" customWidth="1"/>
    <col min="12" max="12" width="7.375" style="1" customWidth="1"/>
    <col min="13" max="16384" width="9" style="1"/>
  </cols>
  <sheetData>
    <row r="1" spans="1:9" ht="12.75" customHeight="1" x14ac:dyDescent="0.15">
      <c r="I1" s="72"/>
    </row>
    <row r="2" spans="1:9" ht="12.75" customHeight="1" x14ac:dyDescent="0.15">
      <c r="D2" s="73"/>
      <c r="E2" s="73"/>
      <c r="F2" s="73"/>
      <c r="G2" s="73"/>
      <c r="H2" s="73"/>
      <c r="I2" s="71"/>
    </row>
    <row r="3" spans="1:9" ht="12.75" customHeight="1" x14ac:dyDescent="0.15">
      <c r="D3" s="73"/>
      <c r="E3" s="73"/>
      <c r="F3" s="73"/>
      <c r="G3" s="73"/>
      <c r="H3" s="73"/>
      <c r="I3" s="71"/>
    </row>
    <row r="4" spans="1:9" ht="12.75" customHeight="1" x14ac:dyDescent="0.15">
      <c r="D4" s="73"/>
      <c r="E4" s="73"/>
      <c r="F4" s="73"/>
      <c r="G4" s="73"/>
      <c r="H4" s="73"/>
      <c r="I4" s="71"/>
    </row>
    <row r="5" spans="1:9" ht="12.75" customHeight="1" x14ac:dyDescent="0.15">
      <c r="D5" s="73"/>
      <c r="E5" s="73"/>
      <c r="F5" s="73"/>
      <c r="G5" s="73"/>
      <c r="H5" s="73"/>
      <c r="I5" s="71"/>
    </row>
    <row r="6" spans="1:9" ht="3.75" customHeight="1" x14ac:dyDescent="0.15">
      <c r="D6" s="62"/>
      <c r="E6" s="62"/>
      <c r="F6" s="62"/>
      <c r="G6" s="62"/>
      <c r="H6" s="62"/>
    </row>
    <row r="7" spans="1:9" ht="15" customHeight="1" x14ac:dyDescent="0.15">
      <c r="A7" s="304" t="str">
        <f>IF(入力!I10="","",入力!I10)</f>
        <v/>
      </c>
      <c r="B7" s="304"/>
      <c r="C7" s="304"/>
      <c r="D7" s="304"/>
      <c r="G7" s="360">
        <f>IF(入力!I9="","領収日　令和   年   月   日",入力!I9)</f>
        <v>46080</v>
      </c>
      <c r="H7" s="360"/>
      <c r="I7" s="360"/>
    </row>
    <row r="8" spans="1:9" ht="3.75" customHeight="1" x14ac:dyDescent="0.15">
      <c r="A8" s="302"/>
      <c r="B8" s="302"/>
      <c r="C8" s="302"/>
      <c r="D8" s="302"/>
      <c r="E8" s="16"/>
      <c r="G8" s="57"/>
      <c r="I8" s="4"/>
    </row>
    <row r="9" spans="1:9" ht="14.25" customHeight="1" x14ac:dyDescent="0.15">
      <c r="A9" s="303" t="str">
        <f>IF(入力!I11="","",入力!I11)</f>
        <v>玉腰裕規様、明日野様</v>
      </c>
      <c r="B9" s="303"/>
      <c r="C9" s="303"/>
      <c r="D9" s="303"/>
      <c r="E9" s="189"/>
      <c r="G9" s="306" t="s">
        <v>134</v>
      </c>
      <c r="H9" s="306"/>
      <c r="I9" s="306"/>
    </row>
    <row r="10" spans="1:9" ht="14.25" customHeight="1" x14ac:dyDescent="0.15">
      <c r="B10" s="18" t="s">
        <v>81</v>
      </c>
      <c r="C10" s="19"/>
      <c r="D10" s="19"/>
      <c r="G10" s="307" t="s">
        <v>135</v>
      </c>
      <c r="H10" s="307"/>
      <c r="I10" s="307"/>
    </row>
    <row r="11" spans="1:9" ht="18.75" customHeight="1" thickBot="1" x14ac:dyDescent="0.2">
      <c r="A11" s="3"/>
      <c r="B11" s="301">
        <f>入力!I12</f>
        <v>133870</v>
      </c>
      <c r="C11" s="301"/>
      <c r="D11" s="301"/>
      <c r="E11" s="20"/>
      <c r="G11" s="308" t="str">
        <f>入力!I4</f>
        <v>山本真基</v>
      </c>
      <c r="H11" s="308"/>
      <c r="I11" s="308"/>
    </row>
    <row r="12" spans="1:9" ht="13.5" customHeight="1" x14ac:dyDescent="0.15">
      <c r="A12" s="347" t="s">
        <v>35</v>
      </c>
      <c r="B12" s="348"/>
      <c r="C12" s="348"/>
      <c r="D12" s="349"/>
      <c r="E12" s="339" t="str">
        <f>IF(入力!E13="","",入力!E13)</f>
        <v>浜松中央区初生町822番20、822番23、822番25</v>
      </c>
      <c r="F12" s="340"/>
      <c r="G12" s="340"/>
      <c r="H12" s="340"/>
      <c r="I12" s="341"/>
    </row>
    <row r="13" spans="1:9" ht="13.5" customHeight="1" x14ac:dyDescent="0.15">
      <c r="A13" s="356" t="s">
        <v>119</v>
      </c>
      <c r="B13" s="357"/>
      <c r="C13" s="357"/>
      <c r="D13" s="358"/>
      <c r="E13" s="336" t="str">
        <f>IF(入力!E14="","",入力!E14)</f>
        <v>建物表題登記</v>
      </c>
      <c r="F13" s="337"/>
      <c r="G13" s="337"/>
      <c r="H13" s="337"/>
      <c r="I13" s="338"/>
    </row>
    <row r="14" spans="1:9" ht="13.5" customHeight="1" thickBot="1" x14ac:dyDescent="0.2">
      <c r="A14" s="344" t="s">
        <v>34</v>
      </c>
      <c r="B14" s="345"/>
      <c r="C14" s="345"/>
      <c r="D14" s="346"/>
      <c r="E14" s="191" t="s">
        <v>36</v>
      </c>
      <c r="F14" s="191" t="s">
        <v>37</v>
      </c>
      <c r="G14" s="191" t="s">
        <v>4</v>
      </c>
      <c r="H14" s="192" t="s">
        <v>38</v>
      </c>
      <c r="I14" s="193" t="s">
        <v>39</v>
      </c>
    </row>
    <row r="15" spans="1:9" ht="13.5" customHeight="1" x14ac:dyDescent="0.15">
      <c r="A15" s="315" t="s">
        <v>40</v>
      </c>
      <c r="B15" s="350" t="s">
        <v>62</v>
      </c>
      <c r="C15" s="45" t="s">
        <v>0</v>
      </c>
      <c r="D15" s="194"/>
      <c r="E15" s="81">
        <f>IF(入力!E16="","",入力!E16)</f>
        <v>3</v>
      </c>
      <c r="F15" s="21">
        <f>入力!F16</f>
        <v>1100</v>
      </c>
      <c r="G15" s="25">
        <f>IF(入力!E16="","",入力!G16)</f>
        <v>100</v>
      </c>
      <c r="H15" s="22">
        <f>入力!H16</f>
        <v>3300</v>
      </c>
      <c r="I15" s="27" t="str">
        <f>IF(入力!I16="","",入力!I16)</f>
        <v/>
      </c>
    </row>
    <row r="16" spans="1:9" ht="13.5" customHeight="1" x14ac:dyDescent="0.15">
      <c r="A16" s="316"/>
      <c r="B16" s="351"/>
      <c r="C16" s="49" t="s">
        <v>1</v>
      </c>
      <c r="D16" s="195"/>
      <c r="E16" s="23">
        <f>IF(入力!E17="","",入力!E17)</f>
        <v>1</v>
      </c>
      <c r="F16" s="24">
        <f>入力!F17</f>
        <v>1100</v>
      </c>
      <c r="G16" s="25">
        <f>IF(入力!E17="","",入力!G17)</f>
        <v>100</v>
      </c>
      <c r="H16" s="26">
        <f>入力!H17</f>
        <v>1100</v>
      </c>
      <c r="I16" s="27" t="str">
        <f>IF(入力!I17="","",入力!I17)</f>
        <v/>
      </c>
    </row>
    <row r="17" spans="1:12" ht="13.5" customHeight="1" x14ac:dyDescent="0.15">
      <c r="A17" s="316"/>
      <c r="B17" s="351"/>
      <c r="C17" s="49" t="s">
        <v>2</v>
      </c>
      <c r="D17" s="195"/>
      <c r="E17" s="190">
        <f>IF(入力!E18="","",入力!E18)</f>
        <v>3</v>
      </c>
      <c r="F17" s="24">
        <f>入力!F18</f>
        <v>1100</v>
      </c>
      <c r="G17" s="25">
        <f>IF(入力!E18="","",入力!G18)</f>
        <v>100</v>
      </c>
      <c r="H17" s="26">
        <f>入力!H18</f>
        <v>3300</v>
      </c>
      <c r="I17" s="27" t="str">
        <f>IF(入力!I18="","",入力!I18)</f>
        <v/>
      </c>
    </row>
    <row r="18" spans="1:12" ht="13.5" customHeight="1" x14ac:dyDescent="0.15">
      <c r="A18" s="316"/>
      <c r="B18" s="352"/>
      <c r="C18" s="49" t="s">
        <v>3</v>
      </c>
      <c r="D18" s="195"/>
      <c r="E18" s="28">
        <f>IF(入力!E19="","",入力!E19)</f>
        <v>1</v>
      </c>
      <c r="F18" s="24">
        <f>入力!F19</f>
        <v>6000</v>
      </c>
      <c r="G18" s="25">
        <f>IF(入力!E19="","",入力!G19)</f>
        <v>100</v>
      </c>
      <c r="H18" s="26">
        <f>入力!H19</f>
        <v>6000</v>
      </c>
      <c r="I18" s="27" t="str">
        <f>IF(入力!I19="","",入力!I19)</f>
        <v/>
      </c>
    </row>
    <row r="19" spans="1:12" ht="13.5" customHeight="1" x14ac:dyDescent="0.15">
      <c r="A19" s="316"/>
      <c r="B19" s="353" t="s">
        <v>79</v>
      </c>
      <c r="C19" s="49" t="s">
        <v>57</v>
      </c>
      <c r="D19" s="195"/>
      <c r="E19" s="29" t="str">
        <f>IF(入力!E20="","",入力!E20)</f>
        <v/>
      </c>
      <c r="F19" s="24">
        <f>入力!F20</f>
        <v>8000</v>
      </c>
      <c r="G19" s="25" t="str">
        <f>IF(入力!E20="","",入力!G20)</f>
        <v/>
      </c>
      <c r="H19" s="26" t="str">
        <f>入力!H20</f>
        <v/>
      </c>
      <c r="I19" s="27" t="str">
        <f>IF(入力!I20="","",入力!I20)</f>
        <v>敷地境界が不明な場合の調査</v>
      </c>
    </row>
    <row r="20" spans="1:12" ht="13.5" customHeight="1" x14ac:dyDescent="0.15">
      <c r="A20" s="316"/>
      <c r="B20" s="354"/>
      <c r="C20" s="49" t="s">
        <v>58</v>
      </c>
      <c r="D20" s="195"/>
      <c r="E20" s="29" t="str">
        <f>IF(入力!E21="","",入力!E21)</f>
        <v/>
      </c>
      <c r="F20" s="24">
        <f>入力!F21</f>
        <v>10000</v>
      </c>
      <c r="G20" s="25" t="str">
        <f>IF(入力!E21="","",入力!G21)</f>
        <v/>
      </c>
      <c r="H20" s="26" t="str">
        <f>入力!H21</f>
        <v/>
      </c>
      <c r="I20" s="27" t="str">
        <f>IF(入力!I21="","",入力!I21)</f>
        <v>敷地境界が不明な場合の調査</v>
      </c>
    </row>
    <row r="21" spans="1:12" ht="13.5" customHeight="1" x14ac:dyDescent="0.15">
      <c r="A21" s="316"/>
      <c r="B21" s="355"/>
      <c r="C21" s="49" t="s">
        <v>121</v>
      </c>
      <c r="D21" s="195"/>
      <c r="E21" s="29" t="str">
        <f>IF(入力!E22="","",入力!E22)</f>
        <v/>
      </c>
      <c r="F21" s="24">
        <v>15000</v>
      </c>
      <c r="G21" s="25" t="str">
        <f>IF(入力!E22="","",入力!G22)</f>
        <v/>
      </c>
      <c r="H21" s="26" t="str">
        <f>入力!H22</f>
        <v/>
      </c>
      <c r="I21" s="27" t="str">
        <f>IF(入力!I22="","",入力!I22)</f>
        <v>敷地境界が不明な場合の調査</v>
      </c>
    </row>
    <row r="22" spans="1:12" ht="13.5" customHeight="1" thickBot="1" x14ac:dyDescent="0.2">
      <c r="A22" s="317"/>
      <c r="B22" s="196"/>
      <c r="C22" s="197"/>
      <c r="D22" s="197"/>
      <c r="E22" s="30"/>
      <c r="F22" s="31"/>
      <c r="G22" s="32" t="s">
        <v>43</v>
      </c>
      <c r="H22" s="215">
        <f>入力!H23</f>
        <v>13700</v>
      </c>
      <c r="I22" s="34" t="str">
        <f>IF(入力!I23="","",入力!I23)</f>
        <v/>
      </c>
      <c r="J22" s="2"/>
      <c r="L22" s="58"/>
    </row>
    <row r="23" spans="1:12" ht="13.5" customHeight="1" x14ac:dyDescent="0.15">
      <c r="A23" s="315" t="s">
        <v>6</v>
      </c>
      <c r="B23" s="313" t="str">
        <f>IF(入力!B24="","",入力!B24)</f>
        <v>面積測量</v>
      </c>
      <c r="C23" s="314"/>
      <c r="D23" s="198"/>
      <c r="E23" s="98">
        <f>IF(入力!E24="","",入力!E24)</f>
        <v>110</v>
      </c>
      <c r="F23" s="21">
        <f>入力!F24</f>
        <v>40000</v>
      </c>
      <c r="G23" s="25">
        <f>IF(入力!E24="","",入力!G24)</f>
        <v>100</v>
      </c>
      <c r="H23" s="213">
        <f>入力!H24</f>
        <v>40000</v>
      </c>
      <c r="I23" s="70" t="str">
        <f>IF(入力!I24="","",入力!I24)</f>
        <v/>
      </c>
      <c r="J23" s="2"/>
      <c r="L23" s="58"/>
    </row>
    <row r="24" spans="1:12" ht="13.5" customHeight="1" x14ac:dyDescent="0.15">
      <c r="A24" s="316"/>
      <c r="B24" s="313" t="str">
        <f>IF(入力!B25="","",入力!B25)</f>
        <v/>
      </c>
      <c r="C24" s="314"/>
      <c r="D24" s="199"/>
      <c r="E24" s="99" t="str">
        <f>IF(入力!E25="","",入力!E25)</f>
        <v/>
      </c>
      <c r="F24" s="24" t="str">
        <f>入力!F25</f>
        <v/>
      </c>
      <c r="G24" s="25" t="str">
        <f>IF(入力!E25="","",入力!G25)</f>
        <v/>
      </c>
      <c r="H24" s="26" t="str">
        <f>入力!H25</f>
        <v/>
      </c>
      <c r="I24" s="27" t="str">
        <f>IF(入力!I25="","",入力!I25)</f>
        <v/>
      </c>
      <c r="J24" s="2"/>
      <c r="L24" s="58"/>
    </row>
    <row r="25" spans="1:12" ht="13.5" customHeight="1" x14ac:dyDescent="0.15">
      <c r="A25" s="316"/>
      <c r="B25" s="313" t="str">
        <f>IF(入力!B26="","",入力!B26)</f>
        <v/>
      </c>
      <c r="C25" s="314"/>
      <c r="D25" s="199"/>
      <c r="E25" s="99" t="str">
        <f>IF(入力!E26="","",入力!E26)</f>
        <v/>
      </c>
      <c r="F25" s="24" t="str">
        <f>入力!F26</f>
        <v/>
      </c>
      <c r="G25" s="25" t="str">
        <f>IF(入力!E26="","",入力!G26)</f>
        <v/>
      </c>
      <c r="H25" s="26" t="str">
        <f>入力!H26</f>
        <v/>
      </c>
      <c r="I25" s="27" t="str">
        <f>IF(入力!I26="","",入力!I26)</f>
        <v/>
      </c>
      <c r="J25" s="2"/>
      <c r="L25" s="58"/>
    </row>
    <row r="26" spans="1:12" ht="13.5" customHeight="1" x14ac:dyDescent="0.15">
      <c r="A26" s="316"/>
      <c r="B26" s="313" t="str">
        <f>IF(入力!B27="","",入力!B27)</f>
        <v/>
      </c>
      <c r="C26" s="314"/>
      <c r="D26" s="199"/>
      <c r="E26" s="99" t="str">
        <f>IF(入力!E27="","",入力!E27)</f>
        <v/>
      </c>
      <c r="F26" s="24" t="str">
        <f>入力!F27</f>
        <v/>
      </c>
      <c r="G26" s="25" t="str">
        <f>IF(入力!E27="","",入力!G27)</f>
        <v/>
      </c>
      <c r="H26" s="26" t="str">
        <f>入力!H27</f>
        <v/>
      </c>
      <c r="I26" s="27" t="str">
        <f>IF(入力!I27="","",入力!I27)</f>
        <v/>
      </c>
      <c r="J26" s="2"/>
      <c r="L26" s="58"/>
    </row>
    <row r="27" spans="1:12" ht="13.5" customHeight="1" thickBot="1" x14ac:dyDescent="0.2">
      <c r="A27" s="317"/>
      <c r="B27" s="53"/>
      <c r="C27" s="197"/>
      <c r="D27" s="197"/>
      <c r="E27" s="30"/>
      <c r="F27" s="30"/>
      <c r="G27" s="32" t="s">
        <v>43</v>
      </c>
      <c r="H27" s="214">
        <f>入力!H28</f>
        <v>40000</v>
      </c>
      <c r="I27" s="34" t="str">
        <f>IF(入力!I28="","",入力!I28)</f>
        <v/>
      </c>
      <c r="J27" s="2"/>
      <c r="L27" s="58"/>
    </row>
    <row r="28" spans="1:12" ht="13.5" customHeight="1" x14ac:dyDescent="0.15">
      <c r="A28" s="315" t="s">
        <v>7</v>
      </c>
      <c r="B28" s="342" t="str">
        <f>入力!B29</f>
        <v>表題</v>
      </c>
      <c r="C28" s="343"/>
      <c r="D28" s="200" t="s">
        <v>23</v>
      </c>
      <c r="E28" s="28">
        <f>IF(入力!E29="","",入力!E29)</f>
        <v>1</v>
      </c>
      <c r="F28" s="21">
        <f>入力!F29</f>
        <v>25000</v>
      </c>
      <c r="G28" s="333">
        <f>IF(入力!E29+入力!E30+入力!E31=0,"",入力!G29)</f>
        <v>100</v>
      </c>
      <c r="H28" s="335">
        <f>入力!H29</f>
        <v>30000</v>
      </c>
      <c r="I28" s="70" t="str">
        <f>IF(入力!I29="","",入力!I29)</f>
        <v>1棟1階</v>
      </c>
      <c r="J28" s="2"/>
      <c r="L28" s="58"/>
    </row>
    <row r="29" spans="1:12" ht="13.5" customHeight="1" x14ac:dyDescent="0.15">
      <c r="A29" s="316"/>
      <c r="B29" s="324"/>
      <c r="C29" s="325"/>
      <c r="D29" s="201" t="s">
        <v>24</v>
      </c>
      <c r="E29" s="95" t="str">
        <f>IF(入力!E30="","",入力!E30)</f>
        <v/>
      </c>
      <c r="F29" s="24">
        <f>入力!F30</f>
        <v>6000</v>
      </c>
      <c r="G29" s="334"/>
      <c r="H29" s="311"/>
      <c r="I29" s="70" t="str">
        <f>IF(入力!I30="","",入力!I30)</f>
        <v>附属建物1棟1階増加ごと</v>
      </c>
      <c r="J29" s="2"/>
      <c r="L29" s="58"/>
    </row>
    <row r="30" spans="1:12" ht="13.5" customHeight="1" x14ac:dyDescent="0.15">
      <c r="A30" s="316"/>
      <c r="B30" s="326"/>
      <c r="C30" s="327"/>
      <c r="D30" s="201" t="s">
        <v>24</v>
      </c>
      <c r="E30" s="96">
        <f>IF(入力!E31="","",入力!E31)</f>
        <v>1</v>
      </c>
      <c r="F30" s="24">
        <f>入力!F31</f>
        <v>5000</v>
      </c>
      <c r="G30" s="334"/>
      <c r="H30" s="312"/>
      <c r="I30" s="70" t="str">
        <f>IF(入力!I31="","",入力!I31)</f>
        <v>1階増加ごと</v>
      </c>
      <c r="J30" s="2"/>
      <c r="L30" s="58"/>
    </row>
    <row r="31" spans="1:12" ht="13.5" customHeight="1" x14ac:dyDescent="0.15">
      <c r="A31" s="316"/>
      <c r="B31" s="322" t="str">
        <f>入力!B32</f>
        <v>表示変更・更正</v>
      </c>
      <c r="C31" s="323"/>
      <c r="D31" s="202" t="s">
        <v>23</v>
      </c>
      <c r="E31" s="28" t="str">
        <f>IF(入力!E32="","",入力!E32)</f>
        <v/>
      </c>
      <c r="F31" s="24">
        <f>入力!F32</f>
        <v>25000</v>
      </c>
      <c r="G31" s="334" t="str">
        <f>IF(入力!E32+入力!E33+入力!E34=0,"",入力!G32)</f>
        <v/>
      </c>
      <c r="H31" s="310" t="str">
        <f>入力!H32</f>
        <v/>
      </c>
      <c r="I31" s="70" t="str">
        <f>IF(入力!I32="","",入力!I32)</f>
        <v>1棟1階</v>
      </c>
      <c r="J31" s="2"/>
      <c r="L31" s="58"/>
    </row>
    <row r="32" spans="1:12" ht="13.5" customHeight="1" x14ac:dyDescent="0.15">
      <c r="A32" s="316"/>
      <c r="B32" s="324"/>
      <c r="C32" s="325"/>
      <c r="D32" s="202" t="s">
        <v>24</v>
      </c>
      <c r="E32" s="95" t="str">
        <f>IF(入力!E33="","",入力!E33)</f>
        <v/>
      </c>
      <c r="F32" s="24">
        <f>入力!F33</f>
        <v>6000</v>
      </c>
      <c r="G32" s="334"/>
      <c r="H32" s="311"/>
      <c r="I32" s="70" t="str">
        <f>IF(入力!I33="","",入力!I33)</f>
        <v>附属建物1棟1階増加ごと</v>
      </c>
      <c r="J32" s="2"/>
      <c r="L32" s="58"/>
    </row>
    <row r="33" spans="1:12" ht="13.5" customHeight="1" x14ac:dyDescent="0.15">
      <c r="A33" s="316"/>
      <c r="B33" s="326"/>
      <c r="C33" s="327"/>
      <c r="D33" s="202" t="s">
        <v>24</v>
      </c>
      <c r="E33" s="96" t="str">
        <f>IF(入力!E34="","",入力!E34)</f>
        <v/>
      </c>
      <c r="F33" s="24">
        <f>入力!F34</f>
        <v>5000</v>
      </c>
      <c r="G33" s="334"/>
      <c r="H33" s="312"/>
      <c r="I33" s="70" t="str">
        <f>IF(入力!I34="","",入力!I34)</f>
        <v>1階増加ごと</v>
      </c>
      <c r="J33" s="2"/>
      <c r="K33" s="59"/>
      <c r="L33" s="58"/>
    </row>
    <row r="34" spans="1:12" ht="13.5" customHeight="1" x14ac:dyDescent="0.15">
      <c r="A34" s="316"/>
      <c r="B34" s="328" t="str">
        <f>入力!B35</f>
        <v>表示変更・更正
（図面不要）</v>
      </c>
      <c r="C34" s="323"/>
      <c r="D34" s="202" t="s">
        <v>23</v>
      </c>
      <c r="E34" s="28" t="str">
        <f>IF(入力!E35="","",入力!E35)</f>
        <v/>
      </c>
      <c r="F34" s="24">
        <f>入力!F35</f>
        <v>20000</v>
      </c>
      <c r="G34" s="329" t="str">
        <f>IF(入力!E35+入力!E36=0,"",入力!G35)</f>
        <v/>
      </c>
      <c r="H34" s="332" t="str">
        <f>入力!H35</f>
        <v/>
      </c>
      <c r="I34" s="70" t="str">
        <f>IF(入力!I35="","",入力!I35)</f>
        <v>1棟</v>
      </c>
      <c r="J34" s="2"/>
      <c r="K34" s="60"/>
      <c r="L34" s="58"/>
    </row>
    <row r="35" spans="1:12" ht="13.5" customHeight="1" x14ac:dyDescent="0.15">
      <c r="A35" s="316"/>
      <c r="B35" s="324"/>
      <c r="C35" s="325"/>
      <c r="D35" s="202" t="s">
        <v>24</v>
      </c>
      <c r="E35" s="97" t="str">
        <f>IF(入力!E36="","",入力!E36)</f>
        <v/>
      </c>
      <c r="F35" s="24">
        <f>入力!F36</f>
        <v>1000</v>
      </c>
      <c r="G35" s="330"/>
      <c r="H35" s="332"/>
      <c r="I35" s="70" t="str">
        <f>IF(入力!I36="","",入力!I36)</f>
        <v>附属建物1棟増加ごと</v>
      </c>
      <c r="J35" s="2"/>
      <c r="K35" s="61"/>
      <c r="L35" s="58"/>
    </row>
    <row r="36" spans="1:12" ht="13.5" customHeight="1" x14ac:dyDescent="0.15">
      <c r="A36" s="316"/>
      <c r="B36" s="322" t="str">
        <f>入力!B37</f>
        <v>滅失</v>
      </c>
      <c r="C36" s="323"/>
      <c r="D36" s="202" t="s">
        <v>23</v>
      </c>
      <c r="E36" s="28" t="str">
        <f>IF(入力!E37="","",入力!E37)</f>
        <v/>
      </c>
      <c r="F36" s="24">
        <f>入力!F37</f>
        <v>20000</v>
      </c>
      <c r="G36" s="329" t="str">
        <f>IF(入力!E37+入力!E38=0,"",入力!G37)</f>
        <v/>
      </c>
      <c r="H36" s="332" t="str">
        <f>入力!H37</f>
        <v/>
      </c>
      <c r="I36" s="70" t="str">
        <f>IF(入力!I37="","",入力!I37)</f>
        <v>1棟</v>
      </c>
      <c r="J36" s="2"/>
      <c r="K36" s="61"/>
      <c r="L36" s="58"/>
    </row>
    <row r="37" spans="1:12" ht="13.5" customHeight="1" x14ac:dyDescent="0.15">
      <c r="A37" s="316"/>
      <c r="B37" s="326"/>
      <c r="C37" s="327"/>
      <c r="D37" s="202" t="s">
        <v>24</v>
      </c>
      <c r="E37" s="97" t="str">
        <f>IF(入力!E38="","",入力!E38)</f>
        <v/>
      </c>
      <c r="F37" s="24">
        <f>入力!F38</f>
        <v>1000</v>
      </c>
      <c r="G37" s="330"/>
      <c r="H37" s="332"/>
      <c r="I37" s="70" t="str">
        <f>IF(入力!I38="","",入力!I38)</f>
        <v>附属建物1棟増加ごと</v>
      </c>
      <c r="J37" s="2"/>
      <c r="K37" s="61"/>
      <c r="L37" s="58"/>
    </row>
    <row r="38" spans="1:12" ht="13.5" customHeight="1" x14ac:dyDescent="0.15">
      <c r="A38" s="316"/>
      <c r="B38" s="322" t="str">
        <f>IF(入力!B39="","",入力!B39)</f>
        <v/>
      </c>
      <c r="C38" s="323"/>
      <c r="D38" s="202" t="s">
        <v>23</v>
      </c>
      <c r="E38" s="28" t="str">
        <f>IF(入力!E39="","",入力!E39)</f>
        <v/>
      </c>
      <c r="F38" s="24">
        <f>入力!F39</f>
        <v>15000</v>
      </c>
      <c r="G38" s="329" t="str">
        <f>IF(入力!E39+入力!E40+入力!E41+入力!E42+入力!E43=0,"",入力!G39)</f>
        <v/>
      </c>
      <c r="H38" s="310" t="str">
        <f>入力!H39</f>
        <v/>
      </c>
      <c r="I38" s="70" t="str">
        <f>IF(入力!I39="","",入力!I39)</f>
        <v/>
      </c>
      <c r="J38" s="2"/>
      <c r="K38" s="61"/>
      <c r="L38" s="58"/>
    </row>
    <row r="39" spans="1:12" ht="13.5" customHeight="1" x14ac:dyDescent="0.15">
      <c r="A39" s="316"/>
      <c r="B39" s="324"/>
      <c r="C39" s="325"/>
      <c r="D39" s="202" t="s">
        <v>24</v>
      </c>
      <c r="E39" s="234" t="str">
        <f>IF(入力!E40="","",入力!E40)</f>
        <v/>
      </c>
      <c r="F39" s="24">
        <f>入力!F40</f>
        <v>0</v>
      </c>
      <c r="G39" s="331"/>
      <c r="H39" s="311"/>
      <c r="I39" s="70" t="str">
        <f>IF(入力!I40="","",入力!I40)</f>
        <v/>
      </c>
      <c r="J39" s="2"/>
      <c r="K39" s="61"/>
      <c r="L39" s="58"/>
    </row>
    <row r="40" spans="1:12" ht="13.5" customHeight="1" x14ac:dyDescent="0.15">
      <c r="A40" s="316"/>
      <c r="B40" s="324"/>
      <c r="C40" s="325"/>
      <c r="D40" s="202" t="s">
        <v>24</v>
      </c>
      <c r="E40" s="80" t="str">
        <f>IF(入力!E41="","",入力!E41)</f>
        <v/>
      </c>
      <c r="F40" s="24">
        <f>入力!F41</f>
        <v>0</v>
      </c>
      <c r="G40" s="331"/>
      <c r="H40" s="311"/>
      <c r="I40" s="70" t="str">
        <f>IF(入力!I41="","",入力!I41)</f>
        <v/>
      </c>
      <c r="K40" s="2"/>
    </row>
    <row r="41" spans="1:12" ht="13.5" customHeight="1" x14ac:dyDescent="0.15">
      <c r="A41" s="316"/>
      <c r="B41" s="324"/>
      <c r="C41" s="325"/>
      <c r="D41" s="202" t="s">
        <v>24</v>
      </c>
      <c r="E41" s="80" t="str">
        <f>IF(入力!E42="","",入力!E42)</f>
        <v/>
      </c>
      <c r="F41" s="24">
        <f>入力!F42</f>
        <v>0</v>
      </c>
      <c r="G41" s="331"/>
      <c r="H41" s="311"/>
      <c r="I41" s="70" t="str">
        <f>IF(入力!I42="","",入力!I42)</f>
        <v/>
      </c>
      <c r="K41" s="2"/>
    </row>
    <row r="42" spans="1:12" ht="13.5" customHeight="1" x14ac:dyDescent="0.15">
      <c r="A42" s="316"/>
      <c r="B42" s="326"/>
      <c r="C42" s="327"/>
      <c r="D42" s="203" t="s">
        <v>24</v>
      </c>
      <c r="E42" s="80" t="str">
        <f>IF(入力!E43="","",入力!E43)</f>
        <v/>
      </c>
      <c r="F42" s="24">
        <f>入力!F43</f>
        <v>0</v>
      </c>
      <c r="G42" s="330"/>
      <c r="H42" s="312"/>
      <c r="I42" s="70" t="str">
        <f>IF(入力!I43="","",入力!I43)</f>
        <v/>
      </c>
      <c r="K42" s="2"/>
    </row>
    <row r="43" spans="1:12" ht="13.5" customHeight="1" x14ac:dyDescent="0.15">
      <c r="A43" s="316"/>
      <c r="B43" s="313" t="str">
        <f>入力!B44</f>
        <v>現地調査費</v>
      </c>
      <c r="C43" s="314"/>
      <c r="D43" s="195"/>
      <c r="E43" s="28">
        <f>IF(入力!E44="","",入力!E44)</f>
        <v>1</v>
      </c>
      <c r="F43" s="24">
        <f>入力!F44</f>
        <v>18000</v>
      </c>
      <c r="G43" s="25">
        <f>IF(入力!E44="","",入力!G44)</f>
        <v>100</v>
      </c>
      <c r="H43" s="26">
        <f>入力!H44</f>
        <v>18000</v>
      </c>
      <c r="I43" s="70" t="str">
        <f>IF(入力!I44="","",入力!I44)</f>
        <v/>
      </c>
    </row>
    <row r="44" spans="1:12" ht="13.5" customHeight="1" thickBot="1" x14ac:dyDescent="0.2">
      <c r="A44" s="317"/>
      <c r="B44" s="53"/>
      <c r="C44" s="197"/>
      <c r="D44" s="197"/>
      <c r="E44" s="30"/>
      <c r="F44" s="31"/>
      <c r="G44" s="32" t="s">
        <v>43</v>
      </c>
      <c r="H44" s="33">
        <f>入力!H45</f>
        <v>48000</v>
      </c>
      <c r="I44" s="34" t="str">
        <f>IF(入力!I45="","",入力!I45)</f>
        <v/>
      </c>
    </row>
    <row r="45" spans="1:12" ht="13.5" customHeight="1" x14ac:dyDescent="0.15">
      <c r="A45" s="315" t="s">
        <v>32</v>
      </c>
      <c r="B45" s="320" t="str">
        <f>入力!B46</f>
        <v>調査報告書</v>
      </c>
      <c r="C45" s="321"/>
      <c r="D45" s="204"/>
      <c r="E45" s="35">
        <f>IF(入力!E46="","",入力!E46)</f>
        <v>1</v>
      </c>
      <c r="F45" s="21">
        <f>入力!F46</f>
        <v>6000</v>
      </c>
      <c r="G45" s="25">
        <f>IF(入力!E46="","",入力!G46)</f>
        <v>100</v>
      </c>
      <c r="H45" s="26">
        <f>入力!H46</f>
        <v>6000</v>
      </c>
      <c r="I45" s="70" t="str">
        <f>IF(入力!I46="","",入力!I46)</f>
        <v/>
      </c>
      <c r="J45" s="2"/>
    </row>
    <row r="46" spans="1:12" ht="13.5" customHeight="1" x14ac:dyDescent="0.15">
      <c r="A46" s="316"/>
      <c r="B46" s="318" t="str">
        <f>入力!B47</f>
        <v>原本の複製</v>
      </c>
      <c r="C46" s="319"/>
      <c r="D46" s="205"/>
      <c r="E46" s="35">
        <f>IF(入力!E47="","",入力!E47)</f>
        <v>4</v>
      </c>
      <c r="F46" s="24">
        <f>入力!F47</f>
        <v>1000</v>
      </c>
      <c r="G46" s="25">
        <f>IF(入力!E47="","",入力!G47)</f>
        <v>100</v>
      </c>
      <c r="H46" s="26">
        <f>入力!H47</f>
        <v>4000</v>
      </c>
      <c r="I46" s="27" t="str">
        <f>IF(入力!I47="","",入力!I47)</f>
        <v/>
      </c>
      <c r="J46" s="2"/>
    </row>
    <row r="47" spans="1:12" ht="13.5" customHeight="1" x14ac:dyDescent="0.15">
      <c r="A47" s="316"/>
      <c r="B47" s="318" t="str">
        <f>入力!B48</f>
        <v>工事完了引渡証明</v>
      </c>
      <c r="C47" s="319"/>
      <c r="D47" s="205"/>
      <c r="E47" s="35">
        <f>IF(入力!E48="","",入力!E48)</f>
        <v>1</v>
      </c>
      <c r="F47" s="24">
        <f>入力!F48</f>
        <v>5000</v>
      </c>
      <c r="G47" s="25">
        <f>IF(入力!E48="","",入力!G48)</f>
        <v>100</v>
      </c>
      <c r="H47" s="26">
        <f>入力!H48</f>
        <v>5000</v>
      </c>
      <c r="I47" s="27" t="str">
        <f>IF(入力!I48="","",入力!I48)</f>
        <v/>
      </c>
      <c r="J47" s="2"/>
    </row>
    <row r="48" spans="1:12" ht="13.5" customHeight="1" x14ac:dyDescent="0.15">
      <c r="A48" s="316"/>
      <c r="B48" s="318" t="str">
        <f>入力!B49</f>
        <v>申述書</v>
      </c>
      <c r="C48" s="319"/>
      <c r="D48" s="205"/>
      <c r="E48" s="35">
        <f>IF(入力!E49="","",入力!E49)</f>
        <v>1</v>
      </c>
      <c r="F48" s="24">
        <f>入力!F49</f>
        <v>5000</v>
      </c>
      <c r="G48" s="25">
        <f>IF(入力!E49="","",入力!G49)</f>
        <v>100</v>
      </c>
      <c r="H48" s="26">
        <f>入力!H49</f>
        <v>5000</v>
      </c>
      <c r="I48" s="27" t="str">
        <f>IF(入力!I49="","",入力!I49)</f>
        <v/>
      </c>
      <c r="J48" s="2"/>
    </row>
    <row r="49" spans="1:10" ht="13.5" customHeight="1" x14ac:dyDescent="0.15">
      <c r="A49" s="316"/>
      <c r="B49" s="318" t="str">
        <f>入力!B50</f>
        <v/>
      </c>
      <c r="C49" s="319"/>
      <c r="D49" s="205"/>
      <c r="E49" s="35" t="str">
        <f>IF(入力!E50="","",入力!E50)</f>
        <v/>
      </c>
      <c r="F49" s="24" t="str">
        <f>入力!F50</f>
        <v/>
      </c>
      <c r="G49" s="25" t="str">
        <f>IF(入力!E50="","",入力!G50)</f>
        <v/>
      </c>
      <c r="H49" s="26" t="str">
        <f>入力!H50</f>
        <v/>
      </c>
      <c r="I49" s="27" t="str">
        <f>IF(入力!I50="","",入力!I50)</f>
        <v/>
      </c>
      <c r="J49" s="2"/>
    </row>
    <row r="50" spans="1:10" ht="13.5" customHeight="1" thickBot="1" x14ac:dyDescent="0.2">
      <c r="A50" s="317"/>
      <c r="B50" s="53"/>
      <c r="C50" s="197"/>
      <c r="D50" s="197"/>
      <c r="E50" s="30"/>
      <c r="F50" s="30"/>
      <c r="G50" s="32" t="s">
        <v>43</v>
      </c>
      <c r="H50" s="214">
        <f>入力!H51</f>
        <v>20000</v>
      </c>
      <c r="I50" s="34" t="str">
        <f>IF(入力!I51="","",入力!I51)</f>
        <v/>
      </c>
      <c r="J50" s="2"/>
    </row>
    <row r="51" spans="1:10" ht="13.5" customHeight="1" thickBot="1" x14ac:dyDescent="0.2">
      <c r="A51" s="206"/>
      <c r="B51" s="207"/>
      <c r="C51" s="208" t="s">
        <v>33</v>
      </c>
      <c r="D51" s="209"/>
      <c r="E51" s="37">
        <f>入力!E52</f>
        <v>0</v>
      </c>
      <c r="F51" s="38">
        <f>入力!F52</f>
        <v>200</v>
      </c>
      <c r="G51" s="39"/>
      <c r="H51" s="216">
        <f>入力!H52</f>
        <v>0</v>
      </c>
      <c r="I51" s="222" t="str">
        <f>IF(入力!I52="","",入力!I52)</f>
        <v/>
      </c>
      <c r="J51" s="2"/>
    </row>
    <row r="52" spans="1:10" ht="13.5" customHeight="1" thickBot="1" x14ac:dyDescent="0.2">
      <c r="A52" s="206"/>
      <c r="B52" s="207"/>
      <c r="C52" s="208"/>
      <c r="D52" s="208"/>
      <c r="E52" s="36"/>
      <c r="F52" s="36"/>
      <c r="G52" s="40" t="s">
        <v>42</v>
      </c>
      <c r="H52" s="217">
        <f>入力!H53</f>
        <v>121700</v>
      </c>
      <c r="I52" s="34" t="str">
        <f>IF(入力!I53="","",入力!I53)</f>
        <v/>
      </c>
      <c r="J52" s="2"/>
    </row>
    <row r="53" spans="1:10" ht="13.5" customHeight="1" thickBot="1" x14ac:dyDescent="0.2">
      <c r="A53" s="210"/>
      <c r="B53" s="211"/>
      <c r="C53" s="212"/>
      <c r="D53" s="212"/>
      <c r="E53" s="41"/>
      <c r="F53" s="41"/>
      <c r="G53" s="42" t="s">
        <v>41</v>
      </c>
      <c r="H53" s="218">
        <f>入力!H54</f>
        <v>0</v>
      </c>
      <c r="I53" s="34" t="str">
        <f>IF(入力!I54="","",入力!I54)</f>
        <v/>
      </c>
      <c r="J53" s="2"/>
    </row>
    <row r="54" spans="1:10" ht="13.5" customHeight="1" x14ac:dyDescent="0.15">
      <c r="A54" s="43" t="s">
        <v>46</v>
      </c>
      <c r="B54" s="44"/>
      <c r="C54" s="45" t="s">
        <v>45</v>
      </c>
      <c r="D54" s="45"/>
      <c r="E54" s="46"/>
      <c r="F54" s="46"/>
      <c r="G54" s="44"/>
      <c r="H54" s="219">
        <f>入力!H55</f>
        <v>121700</v>
      </c>
      <c r="I54" s="27" t="str">
        <f>IF(入力!I55="","",入力!I55)</f>
        <v/>
      </c>
    </row>
    <row r="55" spans="1:10" ht="13.5" customHeight="1" x14ac:dyDescent="0.15">
      <c r="A55" s="47" t="s">
        <v>47</v>
      </c>
      <c r="B55" s="48"/>
      <c r="C55" s="49" t="s">
        <v>9</v>
      </c>
      <c r="D55" s="49"/>
      <c r="E55" s="50" t="s">
        <v>131</v>
      </c>
      <c r="F55" s="50"/>
      <c r="G55" s="48"/>
      <c r="H55" s="220">
        <f>入力!H56</f>
        <v>12170</v>
      </c>
      <c r="I55" s="27" t="str">
        <f>IF(入力!I56="","",入力!I56)</f>
        <v/>
      </c>
    </row>
    <row r="56" spans="1:10" ht="13.5" customHeight="1" x14ac:dyDescent="0.15">
      <c r="A56" s="47" t="s">
        <v>48</v>
      </c>
      <c r="B56" s="48"/>
      <c r="C56" s="49" t="s">
        <v>8</v>
      </c>
      <c r="D56" s="49"/>
      <c r="E56" s="50" t="s">
        <v>44</v>
      </c>
      <c r="F56" s="50"/>
      <c r="G56" s="48"/>
      <c r="H56" s="220">
        <f>入力!H57</f>
        <v>133870</v>
      </c>
      <c r="I56" s="27" t="str">
        <f>IF(入力!I57="","",入力!I57)</f>
        <v/>
      </c>
    </row>
    <row r="57" spans="1:10" ht="13.5" customHeight="1" x14ac:dyDescent="0.15">
      <c r="A57" s="47" t="s">
        <v>26</v>
      </c>
      <c r="B57" s="48"/>
      <c r="C57" s="49" t="s">
        <v>11</v>
      </c>
      <c r="D57" s="51" t="str">
        <f>入力!D58</f>
        <v/>
      </c>
      <c r="E57" s="50"/>
      <c r="F57" s="50"/>
      <c r="G57" s="48"/>
      <c r="H57" s="220" t="str">
        <f>入力!H58</f>
        <v>　　　　―</v>
      </c>
      <c r="I57" s="27" t="str">
        <f>IF(入力!I58="","",入力!I58)</f>
        <v/>
      </c>
    </row>
    <row r="58" spans="1:10" ht="13.5" customHeight="1" x14ac:dyDescent="0.15">
      <c r="A58" s="47" t="s">
        <v>20</v>
      </c>
      <c r="B58" s="48"/>
      <c r="C58" s="49" t="s">
        <v>12</v>
      </c>
      <c r="D58" s="49"/>
      <c r="E58" s="50" t="s">
        <v>49</v>
      </c>
      <c r="F58" s="50"/>
      <c r="G58" s="48"/>
      <c r="H58" s="220">
        <f>入力!H59</f>
        <v>133870</v>
      </c>
      <c r="I58" s="27" t="str">
        <f>IF(入力!I59="","",入力!I59)</f>
        <v/>
      </c>
    </row>
    <row r="59" spans="1:10" ht="13.5" customHeight="1" x14ac:dyDescent="0.15">
      <c r="A59" s="309" t="s">
        <v>21</v>
      </c>
      <c r="B59" s="48"/>
      <c r="C59" s="49" t="s">
        <v>13</v>
      </c>
      <c r="D59" s="49"/>
      <c r="E59" s="50"/>
      <c r="F59" s="50"/>
      <c r="G59" s="48"/>
      <c r="H59" s="220">
        <f>入力!H60</f>
        <v>0</v>
      </c>
      <c r="I59" s="27" t="str">
        <f>IF(入力!I60="","",入力!I60)</f>
        <v/>
      </c>
    </row>
    <row r="60" spans="1:10" ht="13.5" customHeight="1" x14ac:dyDescent="0.15">
      <c r="A60" s="309"/>
      <c r="B60" s="48"/>
      <c r="C60" s="49" t="s">
        <v>14</v>
      </c>
      <c r="D60" s="49"/>
      <c r="E60" s="50"/>
      <c r="F60" s="50"/>
      <c r="G60" s="48"/>
      <c r="H60" s="220">
        <f>入力!H61</f>
        <v>0</v>
      </c>
      <c r="I60" s="27" t="str">
        <f>IF(入力!I61="","",入力!I61)</f>
        <v/>
      </c>
    </row>
    <row r="61" spans="1:10" ht="13.5" customHeight="1" x14ac:dyDescent="0.15">
      <c r="A61" s="309"/>
      <c r="B61" s="48"/>
      <c r="C61" s="49" t="s">
        <v>10</v>
      </c>
      <c r="D61" s="49"/>
      <c r="E61" s="50"/>
      <c r="F61" s="50"/>
      <c r="G61" s="48"/>
      <c r="H61" s="220">
        <f>入力!H62</f>
        <v>0</v>
      </c>
      <c r="I61" s="27" t="str">
        <f>IF(入力!I62="","",入力!I62)</f>
        <v/>
      </c>
    </row>
    <row r="62" spans="1:10" ht="13.5" customHeight="1" x14ac:dyDescent="0.15">
      <c r="A62" s="47" t="s">
        <v>108</v>
      </c>
      <c r="B62" s="48"/>
      <c r="C62" s="49" t="s">
        <v>16</v>
      </c>
      <c r="D62" s="49"/>
      <c r="E62" s="50" t="s">
        <v>50</v>
      </c>
      <c r="F62" s="50"/>
      <c r="G62" s="48"/>
      <c r="H62" s="220">
        <f>入力!H63</f>
        <v>133870</v>
      </c>
      <c r="I62" s="27" t="str">
        <f>IF(入力!I63="","",入力!I63)</f>
        <v/>
      </c>
    </row>
    <row r="63" spans="1:10" ht="13.5" customHeight="1" x14ac:dyDescent="0.15">
      <c r="A63" s="47" t="s">
        <v>22</v>
      </c>
      <c r="B63" s="48"/>
      <c r="C63" s="49" t="s">
        <v>17</v>
      </c>
      <c r="D63" s="49"/>
      <c r="E63" s="50"/>
      <c r="F63" s="50"/>
      <c r="G63" s="48"/>
      <c r="H63" s="220">
        <f>入力!H64</f>
        <v>0</v>
      </c>
      <c r="I63" s="27" t="str">
        <f>IF(入力!I64="","",入力!I64)</f>
        <v/>
      </c>
    </row>
    <row r="64" spans="1:10" ht="13.5" customHeight="1" thickBot="1" x14ac:dyDescent="0.2">
      <c r="A64" s="52" t="s">
        <v>15</v>
      </c>
      <c r="B64" s="53"/>
      <c r="C64" s="54" t="s">
        <v>18</v>
      </c>
      <c r="D64" s="54"/>
      <c r="E64" s="55" t="s">
        <v>56</v>
      </c>
      <c r="F64" s="55"/>
      <c r="G64" s="53"/>
      <c r="H64" s="221">
        <f>入力!H65</f>
        <v>133870</v>
      </c>
      <c r="I64" s="34" t="str">
        <f>IF(入力!I65="","",入力!I65)</f>
        <v/>
      </c>
    </row>
    <row r="65" spans="1:9" ht="13.5" customHeight="1" x14ac:dyDescent="0.15">
      <c r="A65" s="17" t="s">
        <v>129</v>
      </c>
      <c r="B65" s="235"/>
      <c r="C65" s="17" t="str">
        <f>入力!I5</f>
        <v>Y2026-018</v>
      </c>
      <c r="D65" s="59"/>
      <c r="E65" s="17" t="str">
        <f>IF(入力!I4="青山紘一","　　　土地家屋調査士 青山紘一 事務所",IF(入力!I4="青山貴洋","　　　土地家屋調査士 青山貴洋 事務所",IF(入力!I4="山本真基","　　　土地家屋調査士 山本真基 事務所",IF(入力!I4="尾﨑敬介","　　　土地家屋調査士 尾﨑敬介 事務所"))))</f>
        <v>　　　土地家屋調査士 山本真基 事務所</v>
      </c>
      <c r="F65" s="59"/>
      <c r="H65" s="57"/>
      <c r="I65" s="56" t="s">
        <v>136</v>
      </c>
    </row>
    <row r="66" spans="1:9" ht="15" customHeight="1" x14ac:dyDescent="0.15">
      <c r="A66" s="17" t="str">
        <f>請求書!A66</f>
        <v>登録番号 T6810575689608</v>
      </c>
      <c r="B66" s="235"/>
      <c r="C66" s="235"/>
    </row>
  </sheetData>
  <mergeCells count="45">
    <mergeCell ref="A7:D7"/>
    <mergeCell ref="B11:D11"/>
    <mergeCell ref="A8:D8"/>
    <mergeCell ref="A9:D9"/>
    <mergeCell ref="G7:I7"/>
    <mergeCell ref="G9:I9"/>
    <mergeCell ref="G10:I10"/>
    <mergeCell ref="G11:I11"/>
    <mergeCell ref="A59:A61"/>
    <mergeCell ref="A45:A50"/>
    <mergeCell ref="B46:C46"/>
    <mergeCell ref="B45:C45"/>
    <mergeCell ref="B43:C43"/>
    <mergeCell ref="B47:C47"/>
    <mergeCell ref="B49:C49"/>
    <mergeCell ref="A28:A44"/>
    <mergeCell ref="B31:C33"/>
    <mergeCell ref="B48:C48"/>
    <mergeCell ref="B34:C35"/>
    <mergeCell ref="B25:C25"/>
    <mergeCell ref="B26:C26"/>
    <mergeCell ref="B36:C37"/>
    <mergeCell ref="G34:G35"/>
    <mergeCell ref="G36:G37"/>
    <mergeCell ref="G38:G42"/>
    <mergeCell ref="H36:H37"/>
    <mergeCell ref="H38:H42"/>
    <mergeCell ref="B38:C42"/>
    <mergeCell ref="H34:H35"/>
    <mergeCell ref="A13:D13"/>
    <mergeCell ref="H28:H30"/>
    <mergeCell ref="H31:H33"/>
    <mergeCell ref="E12:I12"/>
    <mergeCell ref="A23:A27"/>
    <mergeCell ref="A14:D14"/>
    <mergeCell ref="A12:D12"/>
    <mergeCell ref="B23:C23"/>
    <mergeCell ref="B15:B18"/>
    <mergeCell ref="B24:C24"/>
    <mergeCell ref="A15:A22"/>
    <mergeCell ref="E13:I13"/>
    <mergeCell ref="G28:G30"/>
    <mergeCell ref="B19:B21"/>
    <mergeCell ref="G31:G33"/>
    <mergeCell ref="B28:C30"/>
  </mergeCells>
  <phoneticPr fontId="2"/>
  <dataValidations count="2">
    <dataValidation imeMode="off" allowBlank="1" showInputMessage="1" showErrorMessage="1" sqref="E15:E64" xr:uid="{00000000-0002-0000-0300-000000000000}"/>
    <dataValidation imeMode="on" allowBlank="1" showInputMessage="1" showErrorMessage="1" sqref="I15:I64 A9:C9" xr:uid="{00000000-0002-0000-0300-000001000000}"/>
  </dataValidations>
  <printOptions horizontalCentered="1" verticalCentered="1"/>
  <pageMargins left="0.39370078740157483" right="0" top="0.39370078740157483" bottom="0" header="0" footer="0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6"/>
  <sheetViews>
    <sheetView view="pageBreakPreview" topLeftCell="A4" zoomScaleNormal="100" zoomScaleSheetLayoutView="100" workbookViewId="0">
      <selection activeCell="F9" sqref="F9"/>
    </sheetView>
  </sheetViews>
  <sheetFormatPr defaultColWidth="9" defaultRowHeight="12" x14ac:dyDescent="0.15"/>
  <cols>
    <col min="1" max="2" width="3.75" style="1" customWidth="1"/>
    <col min="3" max="3" width="12.5" style="1" customWidth="1"/>
    <col min="4" max="4" width="4.375" style="1" customWidth="1"/>
    <col min="5" max="7" width="10" style="1" customWidth="1"/>
    <col min="8" max="8" width="12.5" style="1" customWidth="1"/>
    <col min="9" max="9" width="26.25" style="1" customWidth="1"/>
    <col min="10" max="10" width="2.5" style="1" customWidth="1"/>
    <col min="11" max="11" width="14.875" style="1" customWidth="1"/>
    <col min="12" max="12" width="7.375" style="1" customWidth="1"/>
    <col min="13" max="16384" width="9" style="1"/>
  </cols>
  <sheetData>
    <row r="1" spans="1:9" ht="12.75" customHeight="1" x14ac:dyDescent="0.15">
      <c r="I1" s="72"/>
    </row>
    <row r="2" spans="1:9" ht="12.75" customHeight="1" x14ac:dyDescent="0.15">
      <c r="D2" s="73"/>
      <c r="E2" s="73"/>
      <c r="F2" s="73"/>
      <c r="G2" s="73"/>
      <c r="H2" s="73"/>
      <c r="I2" s="71"/>
    </row>
    <row r="3" spans="1:9" ht="12.75" customHeight="1" x14ac:dyDescent="0.15">
      <c r="D3" s="73"/>
      <c r="E3" s="73"/>
      <c r="F3" s="73"/>
      <c r="G3" s="73"/>
      <c r="H3" s="73"/>
      <c r="I3" s="71"/>
    </row>
    <row r="4" spans="1:9" ht="12.75" customHeight="1" x14ac:dyDescent="0.15">
      <c r="D4" s="73"/>
      <c r="E4" s="73"/>
      <c r="F4" s="73"/>
      <c r="G4" s="73"/>
      <c r="H4" s="73"/>
      <c r="I4" s="71"/>
    </row>
    <row r="5" spans="1:9" ht="12.75" customHeight="1" x14ac:dyDescent="0.15">
      <c r="D5" s="73"/>
      <c r="E5" s="73"/>
      <c r="F5" s="73"/>
      <c r="G5" s="359">
        <f>IF(入力!I8="","請求日",入力!I8)</f>
        <v>46058</v>
      </c>
      <c r="H5" s="359"/>
      <c r="I5" s="359"/>
    </row>
    <row r="6" spans="1:9" ht="3.75" customHeight="1" x14ac:dyDescent="0.15">
      <c r="D6" s="62"/>
      <c r="E6" s="62"/>
      <c r="F6" s="62"/>
      <c r="G6" s="62"/>
      <c r="H6" s="62"/>
    </row>
    <row r="7" spans="1:9" ht="15" customHeight="1" x14ac:dyDescent="0.15">
      <c r="A7" s="304" t="str">
        <f>IF(入力!I10="","",入力!I10)</f>
        <v/>
      </c>
      <c r="B7" s="304"/>
      <c r="C7" s="304"/>
      <c r="D7" s="304"/>
      <c r="G7" s="360">
        <f>IF(入力!I9="","領収日　令和   年   月   日",入力!I9)</f>
        <v>46080</v>
      </c>
      <c r="H7" s="360"/>
      <c r="I7" s="360"/>
    </row>
    <row r="8" spans="1:9" ht="3.75" customHeight="1" x14ac:dyDescent="0.15">
      <c r="A8" s="302"/>
      <c r="B8" s="302"/>
      <c r="C8" s="302"/>
      <c r="D8" s="302"/>
      <c r="E8" s="16"/>
      <c r="G8" s="57"/>
      <c r="I8" s="4"/>
    </row>
    <row r="9" spans="1:9" ht="14.25" customHeight="1" x14ac:dyDescent="0.15">
      <c r="A9" s="303" t="str">
        <f>IF(入力!I11="","",入力!I11)</f>
        <v>玉腰裕規様、明日野様</v>
      </c>
      <c r="B9" s="303"/>
      <c r="C9" s="303"/>
      <c r="D9" s="303"/>
      <c r="E9" s="189"/>
      <c r="G9" s="306" t="s">
        <v>134</v>
      </c>
      <c r="H9" s="306"/>
      <c r="I9" s="306"/>
    </row>
    <row r="10" spans="1:9" ht="14.25" customHeight="1" x14ac:dyDescent="0.15">
      <c r="B10" s="18"/>
      <c r="C10" s="19"/>
      <c r="D10" s="19"/>
      <c r="G10" s="307" t="s">
        <v>135</v>
      </c>
      <c r="H10" s="307"/>
      <c r="I10" s="307"/>
    </row>
    <row r="11" spans="1:9" ht="18.75" customHeight="1" thickBot="1" x14ac:dyDescent="0.2">
      <c r="A11" s="3"/>
      <c r="B11" s="301">
        <f>入力!I12</f>
        <v>133870</v>
      </c>
      <c r="C11" s="301"/>
      <c r="D11" s="301"/>
      <c r="E11" s="20"/>
      <c r="G11" s="308" t="str">
        <f>入力!I4</f>
        <v>山本真基</v>
      </c>
      <c r="H11" s="308"/>
      <c r="I11" s="308"/>
    </row>
    <row r="12" spans="1:9" ht="13.5" customHeight="1" x14ac:dyDescent="0.15">
      <c r="A12" s="347" t="s">
        <v>35</v>
      </c>
      <c r="B12" s="348"/>
      <c r="C12" s="348"/>
      <c r="D12" s="349"/>
      <c r="E12" s="339" t="str">
        <f>IF(入力!E13="","",入力!E13)</f>
        <v>浜松中央区初生町822番20、822番23、822番25</v>
      </c>
      <c r="F12" s="340"/>
      <c r="G12" s="340"/>
      <c r="H12" s="340"/>
      <c r="I12" s="341"/>
    </row>
    <row r="13" spans="1:9" ht="13.5" customHeight="1" x14ac:dyDescent="0.15">
      <c r="A13" s="356" t="s">
        <v>119</v>
      </c>
      <c r="B13" s="357"/>
      <c r="C13" s="357"/>
      <c r="D13" s="358"/>
      <c r="E13" s="336" t="str">
        <f>IF(入力!E14="","",入力!E14)</f>
        <v>建物表題登記</v>
      </c>
      <c r="F13" s="337"/>
      <c r="G13" s="337"/>
      <c r="H13" s="337"/>
      <c r="I13" s="338"/>
    </row>
    <row r="14" spans="1:9" ht="13.5" customHeight="1" thickBot="1" x14ac:dyDescent="0.2">
      <c r="A14" s="344" t="s">
        <v>34</v>
      </c>
      <c r="B14" s="345"/>
      <c r="C14" s="345"/>
      <c r="D14" s="346"/>
      <c r="E14" s="191" t="s">
        <v>36</v>
      </c>
      <c r="F14" s="191" t="s">
        <v>37</v>
      </c>
      <c r="G14" s="191" t="s">
        <v>4</v>
      </c>
      <c r="H14" s="192" t="s">
        <v>38</v>
      </c>
      <c r="I14" s="193" t="s">
        <v>39</v>
      </c>
    </row>
    <row r="15" spans="1:9" ht="13.5" customHeight="1" x14ac:dyDescent="0.15">
      <c r="A15" s="315" t="s">
        <v>40</v>
      </c>
      <c r="B15" s="350" t="s">
        <v>62</v>
      </c>
      <c r="C15" s="45" t="s">
        <v>0</v>
      </c>
      <c r="D15" s="194"/>
      <c r="E15" s="81">
        <f>IF(入力!E16="","",入力!E16)</f>
        <v>3</v>
      </c>
      <c r="F15" s="21">
        <f>入力!F16</f>
        <v>1100</v>
      </c>
      <c r="G15" s="25">
        <f>IF(入力!E16="","",入力!G16)</f>
        <v>100</v>
      </c>
      <c r="H15" s="22">
        <f>入力!H16</f>
        <v>3300</v>
      </c>
      <c r="I15" s="27" t="str">
        <f>IF(入力!I16="","",入力!I16)</f>
        <v/>
      </c>
    </row>
    <row r="16" spans="1:9" ht="13.5" customHeight="1" x14ac:dyDescent="0.15">
      <c r="A16" s="316"/>
      <c r="B16" s="351"/>
      <c r="C16" s="49" t="s">
        <v>1</v>
      </c>
      <c r="D16" s="195"/>
      <c r="E16" s="23">
        <f>IF(入力!E17="","",入力!E17)</f>
        <v>1</v>
      </c>
      <c r="F16" s="24">
        <f>入力!F17</f>
        <v>1100</v>
      </c>
      <c r="G16" s="25">
        <f>IF(入力!E17="","",入力!G17)</f>
        <v>100</v>
      </c>
      <c r="H16" s="26">
        <f>入力!H17</f>
        <v>1100</v>
      </c>
      <c r="I16" s="27" t="str">
        <f>IF(入力!I17="","",入力!I17)</f>
        <v/>
      </c>
    </row>
    <row r="17" spans="1:12" ht="13.5" customHeight="1" x14ac:dyDescent="0.15">
      <c r="A17" s="316"/>
      <c r="B17" s="351"/>
      <c r="C17" s="49" t="s">
        <v>2</v>
      </c>
      <c r="D17" s="195"/>
      <c r="E17" s="190">
        <f>IF(入力!E18="","",入力!E18)</f>
        <v>3</v>
      </c>
      <c r="F17" s="24">
        <f>入力!F18</f>
        <v>1100</v>
      </c>
      <c r="G17" s="25">
        <f>IF(入力!E18="","",入力!G18)</f>
        <v>100</v>
      </c>
      <c r="H17" s="26">
        <f>入力!H18</f>
        <v>3300</v>
      </c>
      <c r="I17" s="27" t="str">
        <f>IF(入力!I18="","",入力!I18)</f>
        <v/>
      </c>
    </row>
    <row r="18" spans="1:12" ht="13.5" customHeight="1" x14ac:dyDescent="0.15">
      <c r="A18" s="316"/>
      <c r="B18" s="352"/>
      <c r="C18" s="49" t="s">
        <v>3</v>
      </c>
      <c r="D18" s="195"/>
      <c r="E18" s="28">
        <f>IF(入力!E19="","",入力!E19)</f>
        <v>1</v>
      </c>
      <c r="F18" s="24">
        <f>入力!F19</f>
        <v>6000</v>
      </c>
      <c r="G18" s="25">
        <f>IF(入力!E19="","",入力!G19)</f>
        <v>100</v>
      </c>
      <c r="H18" s="26">
        <f>入力!H19</f>
        <v>6000</v>
      </c>
      <c r="I18" s="27" t="str">
        <f>IF(入力!I19="","",入力!I19)</f>
        <v/>
      </c>
    </row>
    <row r="19" spans="1:12" ht="13.5" customHeight="1" x14ac:dyDescent="0.15">
      <c r="A19" s="316"/>
      <c r="B19" s="353" t="s">
        <v>79</v>
      </c>
      <c r="C19" s="49" t="s">
        <v>57</v>
      </c>
      <c r="D19" s="195"/>
      <c r="E19" s="29" t="str">
        <f>IF(入力!E20="","",入力!E20)</f>
        <v/>
      </c>
      <c r="F19" s="24">
        <f>入力!F20</f>
        <v>8000</v>
      </c>
      <c r="G19" s="25" t="str">
        <f>IF(入力!E20="","",入力!G20)</f>
        <v/>
      </c>
      <c r="H19" s="26" t="str">
        <f>入力!H20</f>
        <v/>
      </c>
      <c r="I19" s="27" t="str">
        <f>IF(入力!I20="","",入力!I20)</f>
        <v>敷地境界が不明な場合の調査</v>
      </c>
    </row>
    <row r="20" spans="1:12" ht="13.5" customHeight="1" x14ac:dyDescent="0.15">
      <c r="A20" s="316"/>
      <c r="B20" s="354"/>
      <c r="C20" s="49" t="s">
        <v>58</v>
      </c>
      <c r="D20" s="195"/>
      <c r="E20" s="29" t="str">
        <f>IF(入力!E21="","",入力!E21)</f>
        <v/>
      </c>
      <c r="F20" s="24">
        <f>入力!F21</f>
        <v>10000</v>
      </c>
      <c r="G20" s="25" t="str">
        <f>IF(入力!E21="","",入力!G21)</f>
        <v/>
      </c>
      <c r="H20" s="26" t="str">
        <f>入力!H21</f>
        <v/>
      </c>
      <c r="I20" s="27" t="str">
        <f>IF(入力!I21="","",入力!I21)</f>
        <v>敷地境界が不明な場合の調査</v>
      </c>
    </row>
    <row r="21" spans="1:12" ht="13.5" customHeight="1" x14ac:dyDescent="0.15">
      <c r="A21" s="316"/>
      <c r="B21" s="355"/>
      <c r="C21" s="49" t="s">
        <v>121</v>
      </c>
      <c r="D21" s="195"/>
      <c r="E21" s="29" t="str">
        <f>IF(入力!E22="","",入力!E22)</f>
        <v/>
      </c>
      <c r="F21" s="24">
        <v>15000</v>
      </c>
      <c r="G21" s="25" t="str">
        <f>IF(入力!E22="","",入力!G22)</f>
        <v/>
      </c>
      <c r="H21" s="26" t="str">
        <f>入力!H22</f>
        <v/>
      </c>
      <c r="I21" s="27" t="str">
        <f>IF(入力!I22="","",入力!I22)</f>
        <v>敷地境界が不明な場合の調査</v>
      </c>
    </row>
    <row r="22" spans="1:12" ht="13.5" customHeight="1" thickBot="1" x14ac:dyDescent="0.2">
      <c r="A22" s="317"/>
      <c r="B22" s="196"/>
      <c r="C22" s="197"/>
      <c r="D22" s="197"/>
      <c r="E22" s="30"/>
      <c r="F22" s="31"/>
      <c r="G22" s="32" t="s">
        <v>43</v>
      </c>
      <c r="H22" s="215">
        <f>入力!H23</f>
        <v>13700</v>
      </c>
      <c r="I22" s="34" t="str">
        <f>IF(入力!I23="","",入力!I23)</f>
        <v/>
      </c>
      <c r="J22" s="2"/>
      <c r="L22" s="58"/>
    </row>
    <row r="23" spans="1:12" ht="13.5" customHeight="1" x14ac:dyDescent="0.15">
      <c r="A23" s="315" t="s">
        <v>6</v>
      </c>
      <c r="B23" s="313" t="str">
        <f>IF(入力!B24="","",入力!B24)</f>
        <v>面積測量</v>
      </c>
      <c r="C23" s="314"/>
      <c r="D23" s="198"/>
      <c r="E23" s="98">
        <f>IF(入力!E24="","",入力!E24)</f>
        <v>110</v>
      </c>
      <c r="F23" s="21">
        <f>入力!F24</f>
        <v>40000</v>
      </c>
      <c r="G23" s="25">
        <f>IF(入力!E24="","",入力!G24)</f>
        <v>100</v>
      </c>
      <c r="H23" s="213">
        <f>入力!H24</f>
        <v>40000</v>
      </c>
      <c r="I23" s="70" t="str">
        <f>IF(入力!I24="","",入力!I24)</f>
        <v/>
      </c>
      <c r="J23" s="2"/>
      <c r="L23" s="58"/>
    </row>
    <row r="24" spans="1:12" ht="13.5" customHeight="1" x14ac:dyDescent="0.15">
      <c r="A24" s="316"/>
      <c r="B24" s="313" t="str">
        <f>IF(入力!B25="","",入力!B25)</f>
        <v/>
      </c>
      <c r="C24" s="314"/>
      <c r="D24" s="199"/>
      <c r="E24" s="99" t="str">
        <f>IF(入力!E25="","",入力!E25)</f>
        <v/>
      </c>
      <c r="F24" s="24" t="str">
        <f>入力!F25</f>
        <v/>
      </c>
      <c r="G24" s="25" t="str">
        <f>IF(入力!E25="","",入力!G25)</f>
        <v/>
      </c>
      <c r="H24" s="26" t="str">
        <f>入力!H25</f>
        <v/>
      </c>
      <c r="I24" s="27" t="str">
        <f>IF(入力!I25="","",入力!I25)</f>
        <v/>
      </c>
      <c r="J24" s="2"/>
      <c r="L24" s="58"/>
    </row>
    <row r="25" spans="1:12" ht="13.5" customHeight="1" x14ac:dyDescent="0.15">
      <c r="A25" s="316"/>
      <c r="B25" s="313" t="str">
        <f>IF(入力!B26="","",入力!B26)</f>
        <v/>
      </c>
      <c r="C25" s="314"/>
      <c r="D25" s="199"/>
      <c r="E25" s="99" t="str">
        <f>IF(入力!E26="","",入力!E26)</f>
        <v/>
      </c>
      <c r="F25" s="24" t="str">
        <f>入力!F26</f>
        <v/>
      </c>
      <c r="G25" s="25" t="str">
        <f>IF(入力!E26="","",入力!G26)</f>
        <v/>
      </c>
      <c r="H25" s="26" t="str">
        <f>入力!H26</f>
        <v/>
      </c>
      <c r="I25" s="27" t="str">
        <f>IF(入力!I26="","",入力!I26)</f>
        <v/>
      </c>
      <c r="J25" s="2"/>
      <c r="L25" s="58"/>
    </row>
    <row r="26" spans="1:12" ht="13.5" customHeight="1" x14ac:dyDescent="0.15">
      <c r="A26" s="316"/>
      <c r="B26" s="313" t="str">
        <f>IF(入力!B27="","",入力!B27)</f>
        <v/>
      </c>
      <c r="C26" s="314"/>
      <c r="D26" s="199"/>
      <c r="E26" s="99" t="str">
        <f>IF(入力!E27="","",入力!E27)</f>
        <v/>
      </c>
      <c r="F26" s="24" t="str">
        <f>入力!F27</f>
        <v/>
      </c>
      <c r="G26" s="25" t="str">
        <f>IF(入力!E27="","",入力!G27)</f>
        <v/>
      </c>
      <c r="H26" s="26" t="str">
        <f>入力!H27</f>
        <v/>
      </c>
      <c r="I26" s="27" t="str">
        <f>IF(入力!I27="","",入力!I27)</f>
        <v/>
      </c>
      <c r="J26" s="2"/>
      <c r="L26" s="58"/>
    </row>
    <row r="27" spans="1:12" ht="13.5" customHeight="1" thickBot="1" x14ac:dyDescent="0.2">
      <c r="A27" s="317"/>
      <c r="B27" s="53"/>
      <c r="C27" s="197"/>
      <c r="D27" s="197"/>
      <c r="E27" s="30"/>
      <c r="F27" s="30"/>
      <c r="G27" s="32" t="s">
        <v>43</v>
      </c>
      <c r="H27" s="214">
        <f>入力!H28</f>
        <v>40000</v>
      </c>
      <c r="I27" s="34" t="str">
        <f>IF(入力!I28="","",入力!I28)</f>
        <v/>
      </c>
      <c r="J27" s="2"/>
      <c r="L27" s="58"/>
    </row>
    <row r="28" spans="1:12" ht="13.5" customHeight="1" x14ac:dyDescent="0.15">
      <c r="A28" s="315" t="s">
        <v>7</v>
      </c>
      <c r="B28" s="342" t="str">
        <f>入力!B29</f>
        <v>表題</v>
      </c>
      <c r="C28" s="343"/>
      <c r="D28" s="200" t="s">
        <v>23</v>
      </c>
      <c r="E28" s="28">
        <f>IF(入力!E29="","",入力!E29)</f>
        <v>1</v>
      </c>
      <c r="F28" s="21">
        <f>入力!F29</f>
        <v>25000</v>
      </c>
      <c r="G28" s="333">
        <f>IF(入力!E29+入力!E30+入力!E31=0,"",入力!G29)</f>
        <v>100</v>
      </c>
      <c r="H28" s="335">
        <f>入力!H29</f>
        <v>30000</v>
      </c>
      <c r="I28" s="70" t="str">
        <f>IF(入力!I29="","",入力!I29)</f>
        <v>1棟1階</v>
      </c>
      <c r="J28" s="2"/>
      <c r="L28" s="58"/>
    </row>
    <row r="29" spans="1:12" ht="13.5" customHeight="1" x14ac:dyDescent="0.15">
      <c r="A29" s="316"/>
      <c r="B29" s="324"/>
      <c r="C29" s="325"/>
      <c r="D29" s="201" t="s">
        <v>24</v>
      </c>
      <c r="E29" s="95" t="str">
        <f>IF(入力!E30="","",入力!E30)</f>
        <v/>
      </c>
      <c r="F29" s="24">
        <f>入力!F30</f>
        <v>6000</v>
      </c>
      <c r="G29" s="334"/>
      <c r="H29" s="311"/>
      <c r="I29" s="70" t="str">
        <f>IF(入力!I30="","",入力!I30)</f>
        <v>附属建物1棟1階増加ごと</v>
      </c>
      <c r="J29" s="2"/>
      <c r="L29" s="58"/>
    </row>
    <row r="30" spans="1:12" ht="13.5" customHeight="1" x14ac:dyDescent="0.15">
      <c r="A30" s="316"/>
      <c r="B30" s="326"/>
      <c r="C30" s="327"/>
      <c r="D30" s="201" t="s">
        <v>24</v>
      </c>
      <c r="E30" s="96">
        <f>IF(入力!E31="","",入力!E31)</f>
        <v>1</v>
      </c>
      <c r="F30" s="24">
        <f>入力!F31</f>
        <v>5000</v>
      </c>
      <c r="G30" s="334"/>
      <c r="H30" s="312"/>
      <c r="I30" s="70" t="str">
        <f>IF(入力!I31="","",入力!I31)</f>
        <v>1階増加ごと</v>
      </c>
      <c r="J30" s="2"/>
      <c r="L30" s="58"/>
    </row>
    <row r="31" spans="1:12" ht="13.5" customHeight="1" x14ac:dyDescent="0.15">
      <c r="A31" s="316"/>
      <c r="B31" s="322" t="str">
        <f>入力!B32</f>
        <v>表示変更・更正</v>
      </c>
      <c r="C31" s="323"/>
      <c r="D31" s="202" t="s">
        <v>23</v>
      </c>
      <c r="E31" s="28" t="str">
        <f>IF(入力!E32="","",入力!E32)</f>
        <v/>
      </c>
      <c r="F31" s="24">
        <f>入力!F32</f>
        <v>25000</v>
      </c>
      <c r="G31" s="334" t="str">
        <f>IF(入力!E32+入力!E33+入力!E34=0,"",入力!G32)</f>
        <v/>
      </c>
      <c r="H31" s="310" t="str">
        <f>入力!H32</f>
        <v/>
      </c>
      <c r="I31" s="70" t="str">
        <f>IF(入力!I32="","",入力!I32)</f>
        <v>1棟1階</v>
      </c>
      <c r="J31" s="2"/>
      <c r="L31" s="58"/>
    </row>
    <row r="32" spans="1:12" ht="13.5" customHeight="1" x14ac:dyDescent="0.15">
      <c r="A32" s="316"/>
      <c r="B32" s="324"/>
      <c r="C32" s="325"/>
      <c r="D32" s="202" t="s">
        <v>24</v>
      </c>
      <c r="E32" s="95" t="str">
        <f>IF(入力!E33="","",入力!E33)</f>
        <v/>
      </c>
      <c r="F32" s="24">
        <f>入力!F33</f>
        <v>6000</v>
      </c>
      <c r="G32" s="334"/>
      <c r="H32" s="311"/>
      <c r="I32" s="70" t="str">
        <f>IF(入力!I33="","",入力!I33)</f>
        <v>附属建物1棟1階増加ごと</v>
      </c>
      <c r="J32" s="2"/>
      <c r="L32" s="58"/>
    </row>
    <row r="33" spans="1:12" ht="13.5" customHeight="1" x14ac:dyDescent="0.15">
      <c r="A33" s="316"/>
      <c r="B33" s="326"/>
      <c r="C33" s="327"/>
      <c r="D33" s="202" t="s">
        <v>24</v>
      </c>
      <c r="E33" s="96" t="str">
        <f>IF(入力!E34="","",入力!E34)</f>
        <v/>
      </c>
      <c r="F33" s="24">
        <f>入力!F34</f>
        <v>5000</v>
      </c>
      <c r="G33" s="334"/>
      <c r="H33" s="312"/>
      <c r="I33" s="70" t="str">
        <f>IF(入力!I34="","",入力!I34)</f>
        <v>1階増加ごと</v>
      </c>
      <c r="J33" s="2"/>
      <c r="K33" s="59"/>
      <c r="L33" s="58"/>
    </row>
    <row r="34" spans="1:12" ht="13.5" customHeight="1" x14ac:dyDescent="0.15">
      <c r="A34" s="316"/>
      <c r="B34" s="328" t="str">
        <f>入力!B35</f>
        <v>表示変更・更正
（図面不要）</v>
      </c>
      <c r="C34" s="323"/>
      <c r="D34" s="202" t="s">
        <v>23</v>
      </c>
      <c r="E34" s="28" t="str">
        <f>IF(入力!E35="","",入力!E35)</f>
        <v/>
      </c>
      <c r="F34" s="24">
        <f>入力!F35</f>
        <v>20000</v>
      </c>
      <c r="G34" s="329" t="str">
        <f>IF(入力!E35+入力!E36=0,"",入力!G35)</f>
        <v/>
      </c>
      <c r="H34" s="332" t="str">
        <f>入力!H35</f>
        <v/>
      </c>
      <c r="I34" s="70" t="str">
        <f>IF(入力!I35="","",入力!I35)</f>
        <v>1棟</v>
      </c>
      <c r="J34" s="2"/>
      <c r="K34" s="60"/>
      <c r="L34" s="58"/>
    </row>
    <row r="35" spans="1:12" ht="13.5" customHeight="1" x14ac:dyDescent="0.15">
      <c r="A35" s="316"/>
      <c r="B35" s="324"/>
      <c r="C35" s="325"/>
      <c r="D35" s="202" t="s">
        <v>24</v>
      </c>
      <c r="E35" s="97" t="str">
        <f>IF(入力!E36="","",入力!E36)</f>
        <v/>
      </c>
      <c r="F35" s="24">
        <f>入力!F36</f>
        <v>1000</v>
      </c>
      <c r="G35" s="330"/>
      <c r="H35" s="332"/>
      <c r="I35" s="70" t="str">
        <f>IF(入力!I36="","",入力!I36)</f>
        <v>附属建物1棟増加ごと</v>
      </c>
      <c r="J35" s="2"/>
      <c r="K35" s="61"/>
      <c r="L35" s="58"/>
    </row>
    <row r="36" spans="1:12" ht="13.5" customHeight="1" x14ac:dyDescent="0.15">
      <c r="A36" s="316"/>
      <c r="B36" s="322" t="str">
        <f>入力!B37</f>
        <v>滅失</v>
      </c>
      <c r="C36" s="323"/>
      <c r="D36" s="202" t="s">
        <v>23</v>
      </c>
      <c r="E36" s="28" t="str">
        <f>IF(入力!E37="","",入力!E37)</f>
        <v/>
      </c>
      <c r="F36" s="24">
        <f>入力!F37</f>
        <v>20000</v>
      </c>
      <c r="G36" s="329" t="str">
        <f>IF(入力!E37+入力!E38=0,"",入力!G37)</f>
        <v/>
      </c>
      <c r="H36" s="332" t="str">
        <f>入力!H37</f>
        <v/>
      </c>
      <c r="I36" s="70" t="str">
        <f>IF(入力!I37="","",入力!I37)</f>
        <v>1棟</v>
      </c>
      <c r="J36" s="2"/>
      <c r="K36" s="61"/>
      <c r="L36" s="58"/>
    </row>
    <row r="37" spans="1:12" ht="13.5" customHeight="1" x14ac:dyDescent="0.15">
      <c r="A37" s="316"/>
      <c r="B37" s="326"/>
      <c r="C37" s="327"/>
      <c r="D37" s="202" t="s">
        <v>24</v>
      </c>
      <c r="E37" s="97" t="str">
        <f>IF(入力!E38="","",入力!E38)</f>
        <v/>
      </c>
      <c r="F37" s="24">
        <f>入力!F38</f>
        <v>1000</v>
      </c>
      <c r="G37" s="330"/>
      <c r="H37" s="332"/>
      <c r="I37" s="70" t="str">
        <f>IF(入力!I38="","",入力!I38)</f>
        <v>附属建物1棟増加ごと</v>
      </c>
      <c r="J37" s="2"/>
      <c r="K37" s="61"/>
      <c r="L37" s="58"/>
    </row>
    <row r="38" spans="1:12" ht="13.5" customHeight="1" x14ac:dyDescent="0.15">
      <c r="A38" s="316"/>
      <c r="B38" s="322" t="str">
        <f>IF(入力!B39="","",入力!B39)</f>
        <v/>
      </c>
      <c r="C38" s="323"/>
      <c r="D38" s="202" t="s">
        <v>23</v>
      </c>
      <c r="E38" s="28" t="str">
        <f>IF(入力!E39="","",入力!E39)</f>
        <v/>
      </c>
      <c r="F38" s="24">
        <f>入力!F39</f>
        <v>15000</v>
      </c>
      <c r="G38" s="329" t="str">
        <f>IF(入力!E39+入力!E40+入力!E41+入力!E42+入力!E43=0,"",入力!G39)</f>
        <v/>
      </c>
      <c r="H38" s="310" t="str">
        <f>入力!H39</f>
        <v/>
      </c>
      <c r="I38" s="70" t="str">
        <f>IF(入力!I39="","",入力!I39)</f>
        <v/>
      </c>
      <c r="J38" s="2"/>
      <c r="K38" s="61"/>
      <c r="L38" s="58"/>
    </row>
    <row r="39" spans="1:12" ht="13.5" customHeight="1" x14ac:dyDescent="0.15">
      <c r="A39" s="316"/>
      <c r="B39" s="324"/>
      <c r="C39" s="325"/>
      <c r="D39" s="202" t="s">
        <v>24</v>
      </c>
      <c r="E39" s="80" t="str">
        <f>IF(入力!E40="","",入力!E40)</f>
        <v/>
      </c>
      <c r="F39" s="24">
        <f>入力!F40</f>
        <v>0</v>
      </c>
      <c r="G39" s="331"/>
      <c r="H39" s="311"/>
      <c r="I39" s="70" t="str">
        <f>IF(入力!I40="","",入力!I40)</f>
        <v/>
      </c>
      <c r="J39" s="2"/>
      <c r="K39" s="61"/>
      <c r="L39" s="58"/>
    </row>
    <row r="40" spans="1:12" ht="13.5" customHeight="1" x14ac:dyDescent="0.15">
      <c r="A40" s="316"/>
      <c r="B40" s="324"/>
      <c r="C40" s="325"/>
      <c r="D40" s="202" t="s">
        <v>24</v>
      </c>
      <c r="E40" s="234" t="str">
        <f>IF(入力!E41="","",入力!E41)</f>
        <v/>
      </c>
      <c r="F40" s="24">
        <f>入力!F41</f>
        <v>0</v>
      </c>
      <c r="G40" s="331"/>
      <c r="H40" s="311"/>
      <c r="I40" s="70" t="str">
        <f>IF(入力!I41="","",入力!I41)</f>
        <v/>
      </c>
      <c r="K40" s="2"/>
    </row>
    <row r="41" spans="1:12" ht="13.5" customHeight="1" x14ac:dyDescent="0.15">
      <c r="A41" s="316"/>
      <c r="B41" s="324"/>
      <c r="C41" s="325"/>
      <c r="D41" s="202" t="s">
        <v>24</v>
      </c>
      <c r="E41" s="80" t="str">
        <f>IF(入力!E42="","",入力!E42)</f>
        <v/>
      </c>
      <c r="F41" s="24">
        <f>入力!F42</f>
        <v>0</v>
      </c>
      <c r="G41" s="331"/>
      <c r="H41" s="311"/>
      <c r="I41" s="70" t="str">
        <f>IF(入力!I42="","",入力!I42)</f>
        <v/>
      </c>
      <c r="K41" s="2"/>
    </row>
    <row r="42" spans="1:12" ht="13.5" customHeight="1" x14ac:dyDescent="0.15">
      <c r="A42" s="316"/>
      <c r="B42" s="326"/>
      <c r="C42" s="327"/>
      <c r="D42" s="203" t="s">
        <v>24</v>
      </c>
      <c r="E42" s="80" t="str">
        <f>IF(入力!E43="","",入力!E43)</f>
        <v/>
      </c>
      <c r="F42" s="24">
        <f>入力!F43</f>
        <v>0</v>
      </c>
      <c r="G42" s="330"/>
      <c r="H42" s="312"/>
      <c r="I42" s="70" t="str">
        <f>IF(入力!I43="","",入力!I43)</f>
        <v/>
      </c>
      <c r="K42" s="2"/>
    </row>
    <row r="43" spans="1:12" ht="13.5" customHeight="1" x14ac:dyDescent="0.15">
      <c r="A43" s="316"/>
      <c r="B43" s="313" t="str">
        <f>入力!B44</f>
        <v>現地調査費</v>
      </c>
      <c r="C43" s="314"/>
      <c r="D43" s="195"/>
      <c r="E43" s="28">
        <f>IF(入力!E44="","",入力!E44)</f>
        <v>1</v>
      </c>
      <c r="F43" s="24">
        <f>入力!F44</f>
        <v>18000</v>
      </c>
      <c r="G43" s="25">
        <f>IF(入力!E44="","",入力!G44)</f>
        <v>100</v>
      </c>
      <c r="H43" s="26">
        <f>入力!H44</f>
        <v>18000</v>
      </c>
      <c r="I43" s="70" t="str">
        <f>IF(入力!I44="","",入力!I44)</f>
        <v/>
      </c>
    </row>
    <row r="44" spans="1:12" ht="13.5" customHeight="1" thickBot="1" x14ac:dyDescent="0.2">
      <c r="A44" s="317"/>
      <c r="B44" s="53"/>
      <c r="C44" s="197"/>
      <c r="D44" s="197"/>
      <c r="E44" s="30"/>
      <c r="F44" s="31"/>
      <c r="G44" s="32" t="s">
        <v>43</v>
      </c>
      <c r="H44" s="33">
        <f>入力!H45</f>
        <v>48000</v>
      </c>
      <c r="I44" s="34" t="str">
        <f>IF(入力!I45="","",入力!I45)</f>
        <v/>
      </c>
    </row>
    <row r="45" spans="1:12" ht="13.5" customHeight="1" x14ac:dyDescent="0.15">
      <c r="A45" s="315" t="s">
        <v>32</v>
      </c>
      <c r="B45" s="320" t="str">
        <f>入力!B46</f>
        <v>調査報告書</v>
      </c>
      <c r="C45" s="321"/>
      <c r="D45" s="204"/>
      <c r="E45" s="35">
        <f>IF(入力!E46="","",入力!E46)</f>
        <v>1</v>
      </c>
      <c r="F45" s="21">
        <f>入力!F46</f>
        <v>6000</v>
      </c>
      <c r="G45" s="25">
        <f>IF(入力!E46="","",入力!G46)</f>
        <v>100</v>
      </c>
      <c r="H45" s="26">
        <f>入力!H46</f>
        <v>6000</v>
      </c>
      <c r="I45" s="70" t="str">
        <f>IF(入力!I46="","",入力!I46)</f>
        <v/>
      </c>
      <c r="J45" s="2"/>
    </row>
    <row r="46" spans="1:12" ht="13.5" customHeight="1" x14ac:dyDescent="0.15">
      <c r="A46" s="316"/>
      <c r="B46" s="318" t="str">
        <f>入力!B47</f>
        <v>原本の複製</v>
      </c>
      <c r="C46" s="319"/>
      <c r="D46" s="205"/>
      <c r="E46" s="35">
        <f>IF(入力!E47="","",入力!E47)</f>
        <v>4</v>
      </c>
      <c r="F46" s="24">
        <f>入力!F47</f>
        <v>1000</v>
      </c>
      <c r="G46" s="25">
        <f>IF(入力!E47="","",入力!G47)</f>
        <v>100</v>
      </c>
      <c r="H46" s="26">
        <f>入力!H47</f>
        <v>4000</v>
      </c>
      <c r="I46" s="27" t="str">
        <f>IF(入力!I47="","",入力!I47)</f>
        <v/>
      </c>
      <c r="J46" s="2"/>
    </row>
    <row r="47" spans="1:12" ht="13.5" customHeight="1" x14ac:dyDescent="0.15">
      <c r="A47" s="316"/>
      <c r="B47" s="318" t="str">
        <f>入力!B48</f>
        <v>工事完了引渡証明</v>
      </c>
      <c r="C47" s="319"/>
      <c r="D47" s="205"/>
      <c r="E47" s="35">
        <f>IF(入力!E48="","",入力!E48)</f>
        <v>1</v>
      </c>
      <c r="F47" s="24">
        <f>入力!F48</f>
        <v>5000</v>
      </c>
      <c r="G47" s="25">
        <f>IF(入力!E48="","",入力!G48)</f>
        <v>100</v>
      </c>
      <c r="H47" s="26">
        <f>入力!H48</f>
        <v>5000</v>
      </c>
      <c r="I47" s="27" t="str">
        <f>IF(入力!I48="","",入力!I48)</f>
        <v/>
      </c>
      <c r="J47" s="2"/>
    </row>
    <row r="48" spans="1:12" ht="13.5" customHeight="1" x14ac:dyDescent="0.15">
      <c r="A48" s="316"/>
      <c r="B48" s="318" t="str">
        <f>入力!B49</f>
        <v>申述書</v>
      </c>
      <c r="C48" s="319"/>
      <c r="D48" s="205"/>
      <c r="E48" s="35">
        <f>IF(入力!E49="","",入力!E49)</f>
        <v>1</v>
      </c>
      <c r="F48" s="24">
        <f>入力!F49</f>
        <v>5000</v>
      </c>
      <c r="G48" s="25">
        <f>IF(入力!E49="","",入力!G49)</f>
        <v>100</v>
      </c>
      <c r="H48" s="26">
        <f>入力!H49</f>
        <v>5000</v>
      </c>
      <c r="I48" s="27" t="str">
        <f>IF(入力!I49="","",入力!I49)</f>
        <v/>
      </c>
      <c r="J48" s="2"/>
    </row>
    <row r="49" spans="1:10" ht="13.5" customHeight="1" x14ac:dyDescent="0.15">
      <c r="A49" s="316"/>
      <c r="B49" s="318" t="str">
        <f>入力!B50</f>
        <v/>
      </c>
      <c r="C49" s="319"/>
      <c r="D49" s="205"/>
      <c r="E49" s="35" t="str">
        <f>IF(入力!E50="","",入力!E50)</f>
        <v/>
      </c>
      <c r="F49" s="24" t="str">
        <f>入力!F50</f>
        <v/>
      </c>
      <c r="G49" s="25" t="str">
        <f>IF(入力!E50="","",入力!G50)</f>
        <v/>
      </c>
      <c r="H49" s="26" t="str">
        <f>入力!H50</f>
        <v/>
      </c>
      <c r="I49" s="27" t="str">
        <f>IF(入力!I50="","",入力!I50)</f>
        <v/>
      </c>
      <c r="J49" s="2"/>
    </row>
    <row r="50" spans="1:10" ht="13.5" customHeight="1" thickBot="1" x14ac:dyDescent="0.2">
      <c r="A50" s="317"/>
      <c r="B50" s="53"/>
      <c r="C50" s="197"/>
      <c r="D50" s="197"/>
      <c r="E50" s="30"/>
      <c r="F50" s="30"/>
      <c r="G50" s="32" t="s">
        <v>43</v>
      </c>
      <c r="H50" s="214">
        <f>入力!H51</f>
        <v>20000</v>
      </c>
      <c r="I50" s="34" t="str">
        <f>IF(入力!I51="","",入力!I51)</f>
        <v/>
      </c>
      <c r="J50" s="2"/>
    </row>
    <row r="51" spans="1:10" ht="13.5" customHeight="1" thickBot="1" x14ac:dyDescent="0.2">
      <c r="A51" s="206"/>
      <c r="B51" s="207"/>
      <c r="C51" s="208" t="s">
        <v>33</v>
      </c>
      <c r="D51" s="209"/>
      <c r="E51" s="37">
        <f>入力!E52</f>
        <v>0</v>
      </c>
      <c r="F51" s="38">
        <f>入力!F52</f>
        <v>200</v>
      </c>
      <c r="G51" s="39"/>
      <c r="H51" s="216">
        <f>入力!H52</f>
        <v>0</v>
      </c>
      <c r="I51" s="222" t="str">
        <f>IF(入力!I52="","",入力!I52)</f>
        <v/>
      </c>
      <c r="J51" s="2"/>
    </row>
    <row r="52" spans="1:10" ht="13.5" customHeight="1" thickBot="1" x14ac:dyDescent="0.2">
      <c r="A52" s="206"/>
      <c r="B52" s="207"/>
      <c r="C52" s="208"/>
      <c r="D52" s="208"/>
      <c r="E52" s="36"/>
      <c r="F52" s="36"/>
      <c r="G52" s="40" t="s">
        <v>42</v>
      </c>
      <c r="H52" s="217">
        <f>入力!H53</f>
        <v>121700</v>
      </c>
      <c r="I52" s="34" t="str">
        <f>IF(入力!I53="","",入力!I53)</f>
        <v/>
      </c>
      <c r="J52" s="2"/>
    </row>
    <row r="53" spans="1:10" ht="13.5" customHeight="1" thickBot="1" x14ac:dyDescent="0.2">
      <c r="A53" s="210"/>
      <c r="B53" s="211"/>
      <c r="C53" s="212"/>
      <c r="D53" s="212"/>
      <c r="E53" s="41"/>
      <c r="F53" s="41"/>
      <c r="G53" s="42" t="s">
        <v>41</v>
      </c>
      <c r="H53" s="218">
        <f>入力!H54</f>
        <v>0</v>
      </c>
      <c r="I53" s="34" t="str">
        <f>IF(入力!I54="","",入力!I54)</f>
        <v/>
      </c>
      <c r="J53" s="2"/>
    </row>
    <row r="54" spans="1:10" ht="13.5" customHeight="1" x14ac:dyDescent="0.15">
      <c r="A54" s="43" t="s">
        <v>46</v>
      </c>
      <c r="B54" s="44"/>
      <c r="C54" s="45" t="s">
        <v>45</v>
      </c>
      <c r="D54" s="45"/>
      <c r="E54" s="46"/>
      <c r="F54" s="46"/>
      <c r="G54" s="44"/>
      <c r="H54" s="219">
        <f>入力!H55</f>
        <v>121700</v>
      </c>
      <c r="I54" s="27" t="str">
        <f>IF(入力!I55="","",入力!I55)</f>
        <v/>
      </c>
    </row>
    <row r="55" spans="1:10" ht="13.5" customHeight="1" x14ac:dyDescent="0.15">
      <c r="A55" s="47" t="s">
        <v>47</v>
      </c>
      <c r="B55" s="48"/>
      <c r="C55" s="49" t="s">
        <v>9</v>
      </c>
      <c r="D55" s="49"/>
      <c r="E55" s="50" t="s">
        <v>131</v>
      </c>
      <c r="F55" s="50"/>
      <c r="G55" s="48"/>
      <c r="H55" s="220">
        <f>入力!H56</f>
        <v>12170</v>
      </c>
      <c r="I55" s="27" t="str">
        <f>IF(入力!I56="","",入力!I56)</f>
        <v/>
      </c>
    </row>
    <row r="56" spans="1:10" ht="13.5" customHeight="1" x14ac:dyDescent="0.15">
      <c r="A56" s="47" t="s">
        <v>48</v>
      </c>
      <c r="B56" s="48"/>
      <c r="C56" s="49" t="s">
        <v>8</v>
      </c>
      <c r="D56" s="49"/>
      <c r="E56" s="50" t="s">
        <v>44</v>
      </c>
      <c r="F56" s="50"/>
      <c r="G56" s="48"/>
      <c r="H56" s="220">
        <f>入力!H57</f>
        <v>133870</v>
      </c>
      <c r="I56" s="27" t="str">
        <f>IF(入力!I57="","",入力!I57)</f>
        <v/>
      </c>
    </row>
    <row r="57" spans="1:10" ht="13.5" customHeight="1" x14ac:dyDescent="0.15">
      <c r="A57" s="47" t="s">
        <v>26</v>
      </c>
      <c r="B57" s="48"/>
      <c r="C57" s="49" t="s">
        <v>11</v>
      </c>
      <c r="D57" s="51" t="str">
        <f>入力!D58</f>
        <v/>
      </c>
      <c r="E57" s="50"/>
      <c r="F57" s="50"/>
      <c r="G57" s="48"/>
      <c r="H57" s="220" t="str">
        <f>入力!H58</f>
        <v>　　　　―</v>
      </c>
      <c r="I57" s="27" t="str">
        <f>IF(入力!I58="","",入力!I58)</f>
        <v/>
      </c>
    </row>
    <row r="58" spans="1:10" ht="13.5" customHeight="1" x14ac:dyDescent="0.15">
      <c r="A58" s="47" t="s">
        <v>20</v>
      </c>
      <c r="B58" s="48"/>
      <c r="C58" s="49" t="s">
        <v>12</v>
      </c>
      <c r="D58" s="49"/>
      <c r="E58" s="50" t="s">
        <v>49</v>
      </c>
      <c r="F58" s="50"/>
      <c r="G58" s="48"/>
      <c r="H58" s="220">
        <f>入力!H59</f>
        <v>133870</v>
      </c>
      <c r="I58" s="27" t="str">
        <f>IF(入力!I59="","",入力!I59)</f>
        <v/>
      </c>
    </row>
    <row r="59" spans="1:10" ht="13.5" customHeight="1" x14ac:dyDescent="0.15">
      <c r="A59" s="309" t="s">
        <v>21</v>
      </c>
      <c r="B59" s="48"/>
      <c r="C59" s="49" t="s">
        <v>13</v>
      </c>
      <c r="D59" s="49"/>
      <c r="E59" s="50"/>
      <c r="F59" s="50"/>
      <c r="G59" s="48"/>
      <c r="H59" s="220">
        <f>入力!H60</f>
        <v>0</v>
      </c>
      <c r="I59" s="27" t="str">
        <f>IF(入力!I60="","",入力!I60)</f>
        <v/>
      </c>
    </row>
    <row r="60" spans="1:10" ht="13.5" customHeight="1" x14ac:dyDescent="0.15">
      <c r="A60" s="309"/>
      <c r="B60" s="48"/>
      <c r="C60" s="49" t="s">
        <v>14</v>
      </c>
      <c r="D60" s="49"/>
      <c r="E60" s="50"/>
      <c r="F60" s="50"/>
      <c r="G60" s="48"/>
      <c r="H60" s="220">
        <f>入力!H61</f>
        <v>0</v>
      </c>
      <c r="I60" s="27" t="str">
        <f>IF(入力!I61="","",入力!I61)</f>
        <v/>
      </c>
    </row>
    <row r="61" spans="1:10" ht="13.5" customHeight="1" x14ac:dyDescent="0.15">
      <c r="A61" s="309"/>
      <c r="B61" s="48"/>
      <c r="C61" s="49" t="s">
        <v>10</v>
      </c>
      <c r="D61" s="49"/>
      <c r="E61" s="50"/>
      <c r="F61" s="50"/>
      <c r="G61" s="48"/>
      <c r="H61" s="220">
        <f>入力!H62</f>
        <v>0</v>
      </c>
      <c r="I61" s="27" t="str">
        <f>IF(入力!I62="","",入力!I62)</f>
        <v/>
      </c>
    </row>
    <row r="62" spans="1:10" ht="13.5" customHeight="1" x14ac:dyDescent="0.15">
      <c r="A62" s="47" t="s">
        <v>120</v>
      </c>
      <c r="B62" s="48"/>
      <c r="C62" s="49" t="s">
        <v>16</v>
      </c>
      <c r="D62" s="49"/>
      <c r="E62" s="50" t="s">
        <v>50</v>
      </c>
      <c r="F62" s="50"/>
      <c r="G62" s="48"/>
      <c r="H62" s="220">
        <f>入力!H63</f>
        <v>133870</v>
      </c>
      <c r="I62" s="27" t="str">
        <f>IF(入力!I63="","",入力!I63)</f>
        <v/>
      </c>
    </row>
    <row r="63" spans="1:10" ht="13.5" customHeight="1" x14ac:dyDescent="0.15">
      <c r="A63" s="47" t="s">
        <v>22</v>
      </c>
      <c r="B63" s="48"/>
      <c r="C63" s="49" t="s">
        <v>17</v>
      </c>
      <c r="D63" s="49"/>
      <c r="E63" s="50"/>
      <c r="F63" s="50"/>
      <c r="G63" s="48"/>
      <c r="H63" s="220">
        <f>入力!H64</f>
        <v>0</v>
      </c>
      <c r="I63" s="27" t="str">
        <f>IF(入力!I64="","",入力!I64)</f>
        <v/>
      </c>
    </row>
    <row r="64" spans="1:10" ht="13.5" customHeight="1" thickBot="1" x14ac:dyDescent="0.2">
      <c r="A64" s="52" t="s">
        <v>15</v>
      </c>
      <c r="B64" s="53"/>
      <c r="C64" s="54" t="s">
        <v>18</v>
      </c>
      <c r="D64" s="54"/>
      <c r="E64" s="55" t="s">
        <v>56</v>
      </c>
      <c r="F64" s="55"/>
      <c r="G64" s="53"/>
      <c r="H64" s="221">
        <f>入力!H65</f>
        <v>133870</v>
      </c>
      <c r="I64" s="34" t="str">
        <f>IF(入力!I65="","",入力!I65)</f>
        <v/>
      </c>
    </row>
    <row r="65" spans="1:9" ht="13.5" customHeight="1" x14ac:dyDescent="0.15">
      <c r="A65" s="17" t="s">
        <v>129</v>
      </c>
      <c r="C65" s="17" t="str">
        <f>入力!I5</f>
        <v>Y2026-018</v>
      </c>
      <c r="D65" s="59"/>
      <c r="E65" s="17" t="str">
        <f>IF(入力!I4="青山紘一","　　　土地家屋調査士 青山紘一 事務所",IF(入力!I4="青山貴洋","　　　土地家屋調査士 青山貴洋 事務所",IF(入力!I4="山本真基","　　　土地家屋調査士 山本真基 事務所")))</f>
        <v>　　　土地家屋調査士 山本真基 事務所</v>
      </c>
      <c r="F65" s="59"/>
      <c r="H65" s="57"/>
      <c r="I65" s="56" t="s">
        <v>136</v>
      </c>
    </row>
    <row r="66" spans="1:9" x14ac:dyDescent="0.15">
      <c r="A66" s="235" t="s">
        <v>137</v>
      </c>
    </row>
  </sheetData>
  <mergeCells count="46">
    <mergeCell ref="B11:D11"/>
    <mergeCell ref="A8:D8"/>
    <mergeCell ref="A9:D9"/>
    <mergeCell ref="A7:D7"/>
    <mergeCell ref="G5:I5"/>
    <mergeCell ref="G7:I7"/>
    <mergeCell ref="G9:I9"/>
    <mergeCell ref="G10:I10"/>
    <mergeCell ref="G11:I11"/>
    <mergeCell ref="A59:A61"/>
    <mergeCell ref="A45:A50"/>
    <mergeCell ref="B46:C46"/>
    <mergeCell ref="B45:C45"/>
    <mergeCell ref="B43:C43"/>
    <mergeCell ref="B47:C47"/>
    <mergeCell ref="B49:C49"/>
    <mergeCell ref="A28:A44"/>
    <mergeCell ref="B48:C48"/>
    <mergeCell ref="B26:C26"/>
    <mergeCell ref="B34:C35"/>
    <mergeCell ref="B36:C37"/>
    <mergeCell ref="G34:G35"/>
    <mergeCell ref="G36:G37"/>
    <mergeCell ref="G38:G42"/>
    <mergeCell ref="H38:H42"/>
    <mergeCell ref="B38:C42"/>
    <mergeCell ref="H34:H35"/>
    <mergeCell ref="G28:G30"/>
    <mergeCell ref="H28:H30"/>
    <mergeCell ref="H36:H37"/>
    <mergeCell ref="A13:D13"/>
    <mergeCell ref="E13:I13"/>
    <mergeCell ref="G31:G33"/>
    <mergeCell ref="E12:I12"/>
    <mergeCell ref="A23:A27"/>
    <mergeCell ref="A12:D12"/>
    <mergeCell ref="H31:H33"/>
    <mergeCell ref="A14:D14"/>
    <mergeCell ref="B23:C23"/>
    <mergeCell ref="B15:B18"/>
    <mergeCell ref="B24:C24"/>
    <mergeCell ref="A15:A22"/>
    <mergeCell ref="B19:B21"/>
    <mergeCell ref="B25:C25"/>
    <mergeCell ref="B28:C30"/>
    <mergeCell ref="B31:C33"/>
  </mergeCells>
  <phoneticPr fontId="2"/>
  <dataValidations disablePrompts="1" count="2">
    <dataValidation imeMode="off" allowBlank="1" showInputMessage="1" showErrorMessage="1" sqref="E15:E64" xr:uid="{00000000-0002-0000-0400-000000000000}"/>
    <dataValidation imeMode="on" allowBlank="1" showInputMessage="1" showErrorMessage="1" sqref="I15:I64 A9:C9" xr:uid="{00000000-0002-0000-0400-000001000000}"/>
  </dataValidations>
  <printOptions horizontalCentered="1"/>
  <pageMargins left="0.39370078740157483" right="0" top="0.59055118110236227" bottom="0" header="0" footer="0"/>
  <pageSetup paperSize="9" scale="9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入力</vt:lpstr>
      <vt:lpstr>見積書</vt:lpstr>
      <vt:lpstr>請求書</vt:lpstr>
      <vt:lpstr>領収書</vt:lpstr>
      <vt:lpstr>請求書・領収書(控)</vt:lpstr>
      <vt:lpstr>見積書!Print_Area</vt:lpstr>
      <vt:lpstr>請求書!Print_Area</vt:lpstr>
      <vt:lpstr>'請求書・領収書(控)'!Print_Area</vt:lpstr>
      <vt:lpstr>入力!Print_Area</vt:lpstr>
      <vt:lpstr>領収書!Print_Area</vt:lpstr>
    </vt:vector>
  </TitlesOfParts>
  <Company>栄土地測量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青山紘一</dc:creator>
  <cp:lastModifiedBy>華苗 平澤</cp:lastModifiedBy>
  <cp:lastPrinted>2026-03-13T04:07:08Z</cp:lastPrinted>
  <dcterms:created xsi:type="dcterms:W3CDTF">2001-02-19T08:23:33Z</dcterms:created>
  <dcterms:modified xsi:type="dcterms:W3CDTF">2026-03-13T04:07:13Z</dcterms:modified>
</cp:coreProperties>
</file>