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.230\share\03業務管理\2026-R08\01-2フォルダ見本_建物\08その他\"/>
    </mc:Choice>
  </mc:AlternateContent>
  <xr:revisionPtr revIDLastSave="0" documentId="13_ncr:1_{2C2515EB-1670-454E-9571-01624BD20B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入力" sheetId="8" r:id="rId1"/>
    <sheet name="FAX送信状" sheetId="7" r:id="rId2"/>
    <sheet name="書類送付状（委任状）" sheetId="10" r:id="rId3"/>
    <sheet name="栄土地 + 松本司法書士" sheetId="9" r:id="rId4"/>
  </sheets>
  <externalReferences>
    <externalReference r:id="rId5"/>
  </externalReferences>
  <definedNames>
    <definedName name="_xlnm._FilterDatabase" localSheetId="0">入力!$A$11:$C$11</definedName>
    <definedName name="_xlnm.Print_Area" localSheetId="1">FAX送信状!$A$1:$H$30</definedName>
    <definedName name="_xlnm.Print_Area" localSheetId="3">'栄土地 + 松本司法書士'!$A$1:$H$39</definedName>
    <definedName name="_xlnm.Print_Area" localSheetId="2">'書類送付状（委任状）'!$A$1:$H$40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8" l="1"/>
  <c r="B12" i="8"/>
  <c r="B3" i="8"/>
  <c r="B2" i="8" l="1"/>
  <c r="B17" i="10"/>
  <c r="B17" i="9"/>
  <c r="B16" i="7"/>
  <c r="B15" i="7"/>
  <c r="C7" i="7"/>
  <c r="C6" i="7"/>
  <c r="C5" i="7"/>
  <c r="B6" i="8"/>
  <c r="G3" i="10" l="1"/>
  <c r="G3" i="9" l="1"/>
  <c r="G9" i="7"/>
  <c r="D9" i="7" l="1"/>
  <c r="C6" i="9" l="1"/>
  <c r="C6" i="10"/>
  <c r="G3" i="7"/>
  <c r="D8" i="7"/>
</calcChain>
</file>

<file path=xl/sharedStrings.xml><?xml version="1.0" encoding="utf-8"?>
<sst xmlns="http://schemas.openxmlformats.org/spreadsheetml/2006/main" count="95" uniqueCount="81">
  <si>
    <t>FAX番号</t>
    <rPh sb="3" eb="5">
      <t>バンゴウ</t>
    </rPh>
    <phoneticPr fontId="1"/>
  </si>
  <si>
    <t>件名</t>
    <rPh sb="0" eb="2">
      <t>ケンメイ</t>
    </rPh>
    <phoneticPr fontId="1"/>
  </si>
  <si>
    <t>送信枚数</t>
    <rPh sb="0" eb="2">
      <t>ソウシン</t>
    </rPh>
    <rPh sb="2" eb="4">
      <t>マイスウ</t>
    </rPh>
    <phoneticPr fontId="1"/>
  </si>
  <si>
    <t>送信枚数：</t>
    <rPh sb="0" eb="2">
      <t>ソウシン</t>
    </rPh>
    <rPh sb="2" eb="4">
      <t>マイスウ</t>
    </rPh>
    <phoneticPr fontId="1"/>
  </si>
  <si>
    <t>送信先ＦＡＸ：</t>
    <rPh sb="0" eb="2">
      <t>ソウシン</t>
    </rPh>
    <rPh sb="2" eb="3">
      <t>サキ</t>
    </rPh>
    <phoneticPr fontId="1"/>
  </si>
  <si>
    <t>リストＮｏ</t>
    <phoneticPr fontId="1"/>
  </si>
  <si>
    <t>担当者</t>
    <rPh sb="0" eb="3">
      <t>タントウシャ</t>
    </rPh>
    <phoneticPr fontId="1"/>
  </si>
  <si>
    <t>No</t>
    <phoneticPr fontId="1"/>
  </si>
  <si>
    <t>栄土地測量設計株式会社</t>
    <rPh sb="0" eb="11">
      <t>サカエトチ</t>
    </rPh>
    <phoneticPr fontId="1"/>
  </si>
  <si>
    <t>栄土地法務合同事務所</t>
    <rPh sb="0" eb="10">
      <t>サカエトチ</t>
    </rPh>
    <phoneticPr fontId="1"/>
  </si>
  <si>
    <t>書類送付のご案内</t>
    <rPh sb="0" eb="2">
      <t>ショルイ</t>
    </rPh>
    <rPh sb="2" eb="4">
      <t>ソウフ</t>
    </rPh>
    <rPh sb="6" eb="8">
      <t>アンナイ</t>
    </rPh>
    <phoneticPr fontId="1"/>
  </si>
  <si>
    <t>ＦＡＸ番号</t>
    <rPh sb="3" eb="5">
      <t>バンゴウ</t>
    </rPh>
    <phoneticPr fontId="1"/>
  </si>
  <si>
    <t>Ｅ－Ｍａｉｌ</t>
    <phoneticPr fontId="1"/>
  </si>
  <si>
    <t>役職</t>
    <rPh sb="0" eb="2">
      <t>ヤクショク</t>
    </rPh>
    <phoneticPr fontId="1"/>
  </si>
  <si>
    <t>Ｍｏｂｉｌｅ</t>
    <phoneticPr fontId="1"/>
  </si>
  <si>
    <r>
      <t>ＦＡＸ</t>
    </r>
    <r>
      <rPr>
        <sz val="22"/>
        <rFont val="HGS創英角ｺﾞｼｯｸUB"/>
        <family val="3"/>
        <charset val="128"/>
      </rPr>
      <t xml:space="preserve"> 送信のご案内</t>
    </r>
    <rPh sb="4" eb="6">
      <t>ソウシン</t>
    </rPh>
    <rPh sb="8" eb="10">
      <t>アンナイ</t>
    </rPh>
    <phoneticPr fontId="1"/>
  </si>
  <si>
    <t>記</t>
    <rPh sb="0" eb="1">
      <t>キ</t>
    </rPh>
    <phoneticPr fontId="1"/>
  </si>
  <si>
    <t>　　※上記は「不動産登記権利情報」の表紙でひとまとめになっています。</t>
    <phoneticPr fontId="1"/>
  </si>
  <si>
    <t>　・住宅用家屋証明書</t>
    <phoneticPr fontId="1"/>
  </si>
  <si>
    <t>　・土地家屋調査士業務</t>
    <phoneticPr fontId="1"/>
  </si>
  <si>
    <t>　・司法書士業務</t>
    <phoneticPr fontId="1"/>
  </si>
  <si>
    <t>以上</t>
    <rPh sb="0" eb="2">
      <t>イジョウ</t>
    </rPh>
    <phoneticPr fontId="1"/>
  </si>
  <si>
    <t>　この度は誠にありがとうございました。ご不明点等ございましたら、お気軽にお問い合わせください。</t>
    <phoneticPr fontId="1"/>
  </si>
  <si>
    <t>　・不動産登記完了証 ［地目変更］</t>
    <phoneticPr fontId="1"/>
  </si>
  <si>
    <t>　・不動産登記完了証 ［建物表題］、建物図面・各階平面図</t>
    <phoneticPr fontId="1"/>
  </si>
  <si>
    <t>　・不動産登記完了証 ［所有権登記名義人住所変更、抵当権変更、所有権保存、抵当権設定］</t>
    <phoneticPr fontId="1"/>
  </si>
  <si>
    <t>申請地</t>
    <rPh sb="0" eb="3">
      <t>シンセイチ</t>
    </rPh>
    <phoneticPr fontId="1"/>
  </si>
  <si>
    <t>毎度格別の御引立に預かり厚く御礼申し上げます。</t>
    <rPh sb="0" eb="2">
      <t>マイド</t>
    </rPh>
    <phoneticPr fontId="1"/>
  </si>
  <si>
    <t>本日、下記の書類をお送りいたします。ご査収くださいますようお願い申し上げます。</t>
    <rPh sb="19" eb="21">
      <t>サシュウ</t>
    </rPh>
    <rPh sb="30" eb="31">
      <t>ネガ</t>
    </rPh>
    <rPh sb="32" eb="33">
      <t>モウ</t>
    </rPh>
    <rPh sb="34" eb="35">
      <t>ア</t>
    </rPh>
    <phoneticPr fontId="1"/>
  </si>
  <si>
    <t>　ご不明点等ございましたら、お気軽にお問い合わせください。</t>
    <phoneticPr fontId="1"/>
  </si>
  <si>
    <t>　大変お手数をおかけいたしますが、よろしくお願い申し上げます。</t>
    <phoneticPr fontId="1"/>
  </si>
  <si>
    <t>【 同封書類 】</t>
    <rPh sb="2" eb="6">
      <t>ドウフウショルイヒツヨウショルイ</t>
    </rPh>
    <phoneticPr fontId="1"/>
  </si>
  <si>
    <t>【 必要書類 】</t>
    <rPh sb="2" eb="4">
      <t>ヒツヨウ</t>
    </rPh>
    <rPh sb="4" eb="6">
      <t>ショルイ</t>
    </rPh>
    <phoneticPr fontId="1"/>
  </si>
  <si>
    <t>◆ 司法書士松本さとし事務所 成果品</t>
    <phoneticPr fontId="1"/>
  </si>
  <si>
    <r>
      <rPr>
        <b/>
        <sz val="11"/>
        <rFont val="ＭＳ Ｐゴシック"/>
        <family val="3"/>
        <charset val="128"/>
        <scheme val="minor"/>
      </rPr>
      <t>◆ 御請求書</t>
    </r>
    <r>
      <rPr>
        <b/>
        <sz val="12"/>
        <rFont val="ＭＳ Ｐゴシック"/>
        <family val="3"/>
        <charset val="128"/>
        <scheme val="minor"/>
      </rPr>
      <t>　</t>
    </r>
    <r>
      <rPr>
        <sz val="10"/>
        <rFont val="ＭＳ Ｐゴシック"/>
        <family val="3"/>
        <charset val="128"/>
        <scheme val="minor"/>
      </rPr>
      <t>※お手数ですが、それぞれ記載の振込先口座にお振込みの程お願い申し上げます。</t>
    </r>
    <phoneticPr fontId="1"/>
  </si>
  <si>
    <t>　・建築工事完了引渡証明書</t>
    <phoneticPr fontId="1"/>
  </si>
  <si>
    <t>お世話になっております。</t>
    <rPh sb="1" eb="3">
      <t>セワ</t>
    </rPh>
    <phoneticPr fontId="1"/>
  </si>
  <si>
    <t>下記の件、建物表題登記を申請いたしました。</t>
    <rPh sb="0" eb="2">
      <t>カキ</t>
    </rPh>
    <rPh sb="3" eb="4">
      <t>ケン</t>
    </rPh>
    <rPh sb="5" eb="7">
      <t>タテモノ</t>
    </rPh>
    <rPh sb="7" eb="9">
      <t>ヒョウダイ</t>
    </rPh>
    <rPh sb="9" eb="11">
      <t>トウキ</t>
    </rPh>
    <rPh sb="12" eb="14">
      <t>シンセイ</t>
    </rPh>
    <phoneticPr fontId="1"/>
  </si>
  <si>
    <t>ご確認の程よろしくお願いいたします。</t>
    <rPh sb="1" eb="3">
      <t>カクニン</t>
    </rPh>
    <rPh sb="4" eb="5">
      <t>ホド</t>
    </rPh>
    <rPh sb="10" eb="11">
      <t>ネガ</t>
    </rPh>
    <phoneticPr fontId="1"/>
  </si>
  <si>
    <t>受領通知および建物図面を送信いたします。</t>
    <phoneticPr fontId="1"/>
  </si>
  <si>
    <t>お客様名</t>
    <rPh sb="1" eb="4">
      <t>キャクサマメイ</t>
    </rPh>
    <phoneticPr fontId="1"/>
  </si>
  <si>
    <t>お客様名</t>
    <rPh sb="1" eb="3">
      <t>キャクサマ</t>
    </rPh>
    <rPh sb="3" eb="4">
      <t>メイ</t>
    </rPh>
    <phoneticPr fontId="1"/>
  </si>
  <si>
    <t>FAX送信先 上段</t>
    <rPh sb="3" eb="6">
      <t>ソウシンサキ</t>
    </rPh>
    <rPh sb="7" eb="9">
      <t>ジョウダン</t>
    </rPh>
    <phoneticPr fontId="1"/>
  </si>
  <si>
    <t>FAX送信先 下段</t>
    <rPh sb="3" eb="6">
      <t>ソウシンサキ</t>
    </rPh>
    <rPh sb="7" eb="9">
      <t>ゲダン</t>
    </rPh>
    <phoneticPr fontId="1"/>
  </si>
  <si>
    <r>
      <t>　・</t>
    </r>
    <r>
      <rPr>
        <b/>
        <sz val="10"/>
        <rFont val="ＭＳ Ｐゴシック"/>
        <family val="3"/>
        <charset val="128"/>
        <scheme val="minor"/>
      </rPr>
      <t>登記識別情報通知 ［建物］　</t>
    </r>
    <r>
      <rPr>
        <sz val="10"/>
        <color rgb="FFFF0000"/>
        <rFont val="ＭＳ Ｐゴシック"/>
        <family val="3"/>
        <charset val="128"/>
        <scheme val="minor"/>
      </rPr>
      <t>※従来の登記済証・権利書</t>
    </r>
    <phoneticPr fontId="1"/>
  </si>
  <si>
    <t>建物表題登記申請のご報告</t>
    <rPh sb="0" eb="2">
      <t>タテモノ</t>
    </rPh>
    <rPh sb="2" eb="4">
      <t>ヒョウダイ</t>
    </rPh>
    <rPh sb="4" eb="8">
      <t>トウキシンセイ</t>
    </rPh>
    <rPh sb="10" eb="12">
      <t>ホウコク</t>
    </rPh>
    <phoneticPr fontId="1"/>
  </si>
  <si>
    <t>　・登記事項証明書 （土地）</t>
    <rPh sb="11" eb="13">
      <t>トチ</t>
    </rPh>
    <phoneticPr fontId="1"/>
  </si>
  <si>
    <t>TEL：0532-26-3590 　FAX：0532-26-3591</t>
    <phoneticPr fontId="1"/>
  </si>
  <si>
    <t>090-8738-4708</t>
    <phoneticPr fontId="1"/>
  </si>
  <si>
    <t>〒440-0851 豊橋市前田南町一丁目1番地5</t>
    <rPh sb="10" eb="13">
      <t>トヨハシシ</t>
    </rPh>
    <rPh sb="13" eb="15">
      <t>マエダ</t>
    </rPh>
    <rPh sb="15" eb="16">
      <t>ミナミ</t>
    </rPh>
    <rPh sb="16" eb="17">
      <t>マチ</t>
    </rPh>
    <rPh sb="17" eb="20">
      <t>イッチョウメ</t>
    </rPh>
    <rPh sb="21" eb="23">
      <t>バンチ</t>
    </rPh>
    <phoneticPr fontId="1"/>
  </si>
  <si>
    <t>masaki_yamamoto@dreams-office.co.jp</t>
    <phoneticPr fontId="1"/>
  </si>
  <si>
    <t>木戸裕美</t>
    <rPh sb="0" eb="2">
      <t>キド</t>
    </rPh>
    <rPh sb="2" eb="4">
      <t>ユミ</t>
    </rPh>
    <phoneticPr fontId="1"/>
  </si>
  <si>
    <t>浜松市東区半田山六丁目2183番地4</t>
    <rPh sb="0" eb="3">
      <t>ハママツシ</t>
    </rPh>
    <rPh sb="3" eb="5">
      <t>ヒガシク</t>
    </rPh>
    <rPh sb="5" eb="11">
      <t>ハンダヤマロクチョウメ</t>
    </rPh>
    <rPh sb="15" eb="17">
      <t>バンチ</t>
    </rPh>
    <phoneticPr fontId="1"/>
  </si>
  <si>
    <t>　・返送用レターパック</t>
    <phoneticPr fontId="1"/>
  </si>
  <si>
    <t>以上</t>
    <phoneticPr fontId="1"/>
  </si>
  <si>
    <t>　また、ご返送の際に下記書類を同封の程よろしくお願い申し上げます。</t>
    <phoneticPr fontId="1"/>
  </si>
  <si>
    <r>
      <t xml:space="preserve">　返送用レターパックにて </t>
    </r>
    <r>
      <rPr>
        <b/>
        <sz val="10"/>
        <color rgb="FFFF0000"/>
        <rFont val="HG丸ｺﾞｼｯｸM-PRO"/>
        <family val="3"/>
        <charset val="128"/>
      </rPr>
      <t>8月7日（月）</t>
    </r>
    <r>
      <rPr>
        <sz val="10"/>
        <rFont val="HG丸ｺﾞｼｯｸM-PRO"/>
        <family val="3"/>
        <charset val="128"/>
      </rPr>
      <t xml:space="preserve"> までにご返送くださいますようお願いいたします。</t>
    </r>
    <phoneticPr fontId="1"/>
  </si>
  <si>
    <t>山　本　真　基</t>
    <rPh sb="0" eb="1">
      <t>ヤマ</t>
    </rPh>
    <rPh sb="2" eb="3">
      <t>ホン</t>
    </rPh>
    <rPh sb="4" eb="5">
      <t>マ</t>
    </rPh>
    <rPh sb="6" eb="7">
      <t>モトイ</t>
    </rPh>
    <phoneticPr fontId="1"/>
  </si>
  <si>
    <t>浜松磐田信用金庫　ゆめおいプラザ</t>
    <rPh sb="0" eb="4">
      <t>ハママツイワタ</t>
    </rPh>
    <rPh sb="4" eb="8">
      <t>シンヨウキンコ</t>
    </rPh>
    <phoneticPr fontId="1"/>
  </si>
  <si>
    <t>岡田様</t>
    <rPh sb="0" eb="3">
      <t>オカダサマ</t>
    </rPh>
    <phoneticPr fontId="1"/>
  </si>
  <si>
    <t>053-451-2560</t>
    <phoneticPr fontId="1"/>
  </si>
  <si>
    <t>◆ 土地家屋調査士山本真基事務所 成果品</t>
    <phoneticPr fontId="1"/>
  </si>
  <si>
    <t xml:space="preserve">　・登記事項証明書 （建物） </t>
    <phoneticPr fontId="1"/>
  </si>
  <si>
    <r>
      <rPr>
        <sz val="11"/>
        <rFont val="ＭＳ Ｐゴシック"/>
        <family val="3"/>
        <charset val="128"/>
        <scheme val="minor"/>
      </rPr>
      <t xml:space="preserve">◆ </t>
    </r>
    <r>
      <rPr>
        <b/>
        <sz val="11"/>
        <rFont val="ＭＳ Ｐゴシック"/>
        <family val="3"/>
        <charset val="128"/>
        <scheme val="minor"/>
      </rPr>
      <t>借用品</t>
    </r>
    <r>
      <rPr>
        <sz val="10"/>
        <rFont val="ＭＳ Ｐゴシック"/>
        <family val="3"/>
        <charset val="128"/>
        <scheme val="minor"/>
      </rPr>
      <t xml:space="preserve"> （住民票、印鑑証明書、農地法第5条届出受理通知書、建築確認申請書、長期優良住宅ファイル）</t>
    </r>
    <rPh sb="20" eb="21">
      <t>ダイ</t>
    </rPh>
    <rPh sb="22" eb="23">
      <t>ジョウ</t>
    </rPh>
    <phoneticPr fontId="1"/>
  </si>
  <si>
    <r>
      <t>1通 … 建物持分に関する申述書　</t>
    </r>
    <r>
      <rPr>
        <b/>
        <sz val="10"/>
        <color rgb="FFFF0000"/>
        <rFont val="HG丸ｺﾞｼｯｸM-PRO"/>
        <family val="3"/>
        <charset val="128"/>
      </rPr>
      <t>※実印押印</t>
    </r>
    <phoneticPr fontId="1"/>
  </si>
  <si>
    <t>　・委任状　</t>
    <rPh sb="2" eb="5">
      <t>イニンジョウ</t>
    </rPh>
    <phoneticPr fontId="1"/>
  </si>
  <si>
    <t>４通 … 建物表題、所有権登記名義人住所変更、抵当権変更、所有権保存登記</t>
    <phoneticPr fontId="1"/>
  </si>
  <si>
    <t>　・お見積書　</t>
    <phoneticPr fontId="1"/>
  </si>
  <si>
    <t>2通 （土地家屋調査士業務、司法書士業務）</t>
    <phoneticPr fontId="1"/>
  </si>
  <si>
    <t>　委任状にご署名および押印（丸印2箇所）の上、</t>
    <phoneticPr fontId="1"/>
  </si>
  <si>
    <r>
      <t>1通　※ご署名・</t>
    </r>
    <r>
      <rPr>
        <b/>
        <sz val="10"/>
        <color rgb="FFFF0000"/>
        <rFont val="HG丸ｺﾞｼｯｸM-PRO"/>
        <family val="3"/>
        <charset val="128"/>
      </rPr>
      <t>実印押印</t>
    </r>
    <r>
      <rPr>
        <sz val="10"/>
        <rFont val="HG丸ｺﾞｼｯｸM-PRO"/>
        <family val="3"/>
        <charset val="128"/>
      </rPr>
      <t>済のもの。</t>
    </r>
    <phoneticPr fontId="1"/>
  </si>
  <si>
    <t>　・委任状　</t>
    <phoneticPr fontId="1"/>
  </si>
  <si>
    <t>4通　※ご署名・押印済のもの。</t>
    <phoneticPr fontId="1"/>
  </si>
  <si>
    <t>　・住民票　</t>
    <phoneticPr fontId="1"/>
  </si>
  <si>
    <r>
      <t>　・ご本人様確認書類…</t>
    </r>
    <r>
      <rPr>
        <b/>
        <sz val="10"/>
        <rFont val="HG丸ｺﾞｼｯｸM-PRO"/>
        <family val="3"/>
        <charset val="128"/>
      </rPr>
      <t>○○様、○○様</t>
    </r>
    <r>
      <rPr>
        <sz val="10"/>
        <rFont val="HG丸ｺﾞｼｯｸM-PRO"/>
        <family val="3"/>
        <charset val="128"/>
      </rPr>
      <t>の運転免許証等のコピー。住所書換え前のもので結構です。</t>
    </r>
    <phoneticPr fontId="1"/>
  </si>
  <si>
    <r>
      <t xml:space="preserve">　・印鑑証明書 … </t>
    </r>
    <r>
      <rPr>
        <b/>
        <sz val="10"/>
        <rFont val="HG丸ｺﾞｼｯｸM-PRO"/>
        <family val="3"/>
        <charset val="128"/>
      </rPr>
      <t>○○様、○○様</t>
    </r>
    <r>
      <rPr>
        <sz val="10"/>
        <rFont val="HG丸ｺﾞｼｯｸM-PRO"/>
        <family val="3"/>
        <charset val="128"/>
      </rPr>
      <t>　各1通ずつ  ※新住所のもの。</t>
    </r>
    <rPh sb="2" eb="4">
      <t>インカン</t>
    </rPh>
    <rPh sb="4" eb="7">
      <t>ショウメイショ</t>
    </rPh>
    <rPh sb="18" eb="19">
      <t>カク</t>
    </rPh>
    <phoneticPr fontId="1"/>
  </si>
  <si>
    <t>　・申述書　　</t>
    <rPh sb="2" eb="5">
      <t>シンジュツショ</t>
    </rPh>
    <phoneticPr fontId="1"/>
  </si>
  <si>
    <t>　・申述書　</t>
    <rPh sb="2" eb="5">
      <t>シンジュツショ</t>
    </rPh>
    <phoneticPr fontId="1"/>
  </si>
  <si>
    <r>
      <t>1通　</t>
    </r>
    <r>
      <rPr>
        <sz val="7.5"/>
        <rFont val="HG丸ｺﾞｼｯｸM-PRO"/>
        <family val="3"/>
        <charset val="128"/>
      </rPr>
      <t>※新住所で天馬様、愛実様のお二人が載っていて、</t>
    </r>
    <r>
      <rPr>
        <b/>
        <sz val="7.5"/>
        <color rgb="FFFF0000"/>
        <rFont val="HG丸ｺﾞｼｯｸM-PRO"/>
        <family val="3"/>
        <charset val="128"/>
      </rPr>
      <t>前住所・本籍地入</t>
    </r>
    <r>
      <rPr>
        <sz val="7.5"/>
        <rFont val="HG丸ｺﾞｼｯｸM-PRO"/>
        <family val="3"/>
        <charset val="128"/>
      </rPr>
      <t>のマイナンバーの記載のないもの。</t>
    </r>
    <rPh sb="26" eb="29">
      <t>ゼンジュウショ</t>
    </rPh>
    <rPh sb="30" eb="33">
      <t>ホンセキチ</t>
    </rPh>
    <rPh sb="33" eb="34">
      <t>イ</t>
    </rPh>
    <phoneticPr fontId="1"/>
  </si>
  <si>
    <t>土地家屋調査士　山 本 真 基　（担当：鈴木、平澤）</t>
    <rPh sb="23" eb="25">
      <t>ヒラサワ</t>
    </rPh>
    <phoneticPr fontId="1"/>
  </si>
  <si>
    <t>営業時間：平日8:30～17:30（※土日祝休業）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</si>
</sst>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&quot; 枚 （送信票を含む）&quot;"/>
    <numFmt numFmtId="177" formatCode="@&quot;様&quot;"/>
    <numFmt numFmtId="178" formatCode="@&quot; 枚 （送信票含む）&quot;"/>
    <numFmt numFmtId="179" formatCode="000"/>
    <numFmt numFmtId="180" formatCode="&quot;＜&quot;@&quot;＞&quot;"/>
  </numFmts>
  <fonts count="36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6"/>
      <name val="HG丸ｺﾞｼｯｸM-PRO"/>
      <family val="3"/>
      <charset val="128"/>
    </font>
    <font>
      <sz val="14"/>
      <name val="ＭＳ Ｐゴシック"/>
      <family val="3"/>
      <charset val="128"/>
    </font>
    <font>
      <sz val="13"/>
      <name val="ＭＳ Ｐゴシック"/>
      <family val="3"/>
      <charset val="128"/>
    </font>
    <font>
      <b/>
      <sz val="18"/>
      <color indexed="9"/>
      <name val="HG創英角ｺﾞｼｯｸUB"/>
      <family val="3"/>
      <charset val="128"/>
    </font>
    <font>
      <sz val="11"/>
      <name val="ＭＳ 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22"/>
      <name val="HGS創英角ｺﾞｼｯｸUB"/>
      <family val="3"/>
      <charset val="128"/>
    </font>
    <font>
      <sz val="22"/>
      <name val="HG創英角ｺﾞｼｯｸUB"/>
      <family val="3"/>
      <charset val="128"/>
    </font>
    <font>
      <sz val="11"/>
      <name val="ＭＳ Ｐゴシック"/>
      <family val="3"/>
      <charset val="128"/>
      <scheme val="minor"/>
    </font>
    <font>
      <sz val="10.5"/>
      <name val="ＭＳ Ｐゴシック"/>
      <family val="3"/>
      <charset val="128"/>
      <scheme val="minor"/>
    </font>
    <font>
      <sz val="10.5"/>
      <name val="ＭＳ Ｐゴシック"/>
      <family val="3"/>
      <charset val="128"/>
    </font>
    <font>
      <b/>
      <sz val="11"/>
      <name val="ＭＳ Ｐゴシック"/>
      <family val="3"/>
      <charset val="128"/>
      <scheme val="minor"/>
    </font>
    <font>
      <b/>
      <sz val="12"/>
      <name val="ＭＳ Ｐゴシック"/>
      <family val="3"/>
      <charset val="128"/>
      <scheme val="minor"/>
    </font>
    <font>
      <sz val="10"/>
      <name val="ＭＳ Ｐゴシック"/>
      <family val="3"/>
      <charset val="128"/>
      <scheme val="minor"/>
    </font>
    <font>
      <sz val="10"/>
      <name val="ＭＳ ゴシック"/>
      <family val="3"/>
      <charset val="128"/>
    </font>
    <font>
      <sz val="10"/>
      <color rgb="FFFF0000"/>
      <name val="ＭＳ Ｐゴシック"/>
      <family val="3"/>
      <charset val="128"/>
      <scheme val="minor"/>
    </font>
    <font>
      <b/>
      <sz val="10"/>
      <name val="ＭＳ Ｐゴシック"/>
      <family val="3"/>
      <charset val="128"/>
      <scheme val="minor"/>
    </font>
    <font>
      <u/>
      <sz val="11"/>
      <name val="ＭＳ Ｐゴシック"/>
      <family val="3"/>
      <charset val="128"/>
      <scheme val="minor"/>
    </font>
    <font>
      <sz val="12"/>
      <name val="ＭＳ Ｐゴシック"/>
      <family val="3"/>
      <charset val="128"/>
    </font>
    <font>
      <sz val="11"/>
      <name val="HG丸ｺﾞｼｯｸM-PRO"/>
      <family val="3"/>
      <charset val="128"/>
    </font>
    <font>
      <sz val="14"/>
      <name val="HG丸ｺﾞｼｯｸM-PRO"/>
      <family val="3"/>
      <charset val="128"/>
    </font>
    <font>
      <sz val="10"/>
      <name val="HG丸ｺﾞｼｯｸM-PRO"/>
      <family val="3"/>
      <charset val="128"/>
    </font>
    <font>
      <sz val="10.5"/>
      <name val="HG丸ｺﾞｼｯｸM-PRO"/>
      <family val="3"/>
      <charset val="128"/>
    </font>
    <font>
      <b/>
      <sz val="11"/>
      <name val="HG丸ｺﾞｼｯｸM-PRO"/>
      <family val="3"/>
      <charset val="128"/>
    </font>
    <font>
      <b/>
      <sz val="10"/>
      <color rgb="FFFF0000"/>
      <name val="HG丸ｺﾞｼｯｸM-PRO"/>
      <family val="3"/>
      <charset val="128"/>
    </font>
    <font>
      <sz val="22"/>
      <name val="HG丸ｺﾞｼｯｸM-PRO"/>
      <family val="3"/>
      <charset val="128"/>
    </font>
    <font>
      <sz val="9"/>
      <name val="HG丸ｺﾞｼｯｸM-PRO"/>
      <family val="3"/>
      <charset val="128"/>
    </font>
    <font>
      <sz val="8"/>
      <name val="HG丸ｺﾞｼｯｸM-PRO"/>
      <family val="3"/>
      <charset val="128"/>
    </font>
    <font>
      <b/>
      <sz val="10"/>
      <name val="HG丸ｺﾞｼｯｸM-PRO"/>
      <family val="3"/>
      <charset val="128"/>
    </font>
    <font>
      <sz val="7.5"/>
      <name val="HG丸ｺﾞｼｯｸM-PRO"/>
      <family val="3"/>
      <charset val="128"/>
    </font>
    <font>
      <b/>
      <sz val="7.5"/>
      <color rgb="FFFF0000"/>
      <name val="HG丸ｺﾞｼｯｸM-PRO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thick">
        <color theme="0" tint="-0.34998626667073579"/>
      </bottom>
      <diagonal/>
    </border>
    <border>
      <left/>
      <right/>
      <top style="hair">
        <color indexed="64"/>
      </top>
      <bottom style="thick">
        <color theme="0" tint="-0.34998626667073579"/>
      </bottom>
      <diagonal/>
    </border>
    <border>
      <left/>
      <right/>
      <top style="medium">
        <color theme="0" tint="-0.34998626667073579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3" borderId="3" xfId="0" applyFill="1" applyBorder="1" applyAlignment="1" applyProtection="1">
      <alignment horizontal="left"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9" fillId="0" borderId="0" xfId="0" applyFont="1" applyProtection="1"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3" fillId="4" borderId="3" xfId="0" applyFont="1" applyFill="1" applyBorder="1" applyAlignment="1">
      <alignment horizontal="distributed" vertical="center"/>
    </xf>
    <xf numFmtId="0" fontId="9" fillId="4" borderId="3" xfId="0" applyFont="1" applyFill="1" applyBorder="1" applyAlignment="1">
      <alignment horizontal="distributed" vertical="center"/>
    </xf>
    <xf numFmtId="0" fontId="0" fillId="4" borderId="3" xfId="0" applyFill="1" applyBorder="1" applyAlignment="1">
      <alignment horizontal="distributed" vertical="center"/>
    </xf>
    <xf numFmtId="0" fontId="0" fillId="2" borderId="3" xfId="0" applyFill="1" applyBorder="1" applyAlignment="1">
      <alignment horizontal="left" vertical="center"/>
    </xf>
    <xf numFmtId="0" fontId="0" fillId="0" borderId="0" xfId="0" applyAlignment="1">
      <alignment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distributed"/>
    </xf>
    <xf numFmtId="0" fontId="2" fillId="0" borderId="0" xfId="0" applyFont="1" applyAlignment="1">
      <alignment horizontal="distributed"/>
    </xf>
    <xf numFmtId="178" fontId="3" fillId="0" borderId="0" xfId="0" applyNumberFormat="1" applyFont="1" applyAlignment="1">
      <alignment horizontal="left"/>
    </xf>
    <xf numFmtId="176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shrinkToFi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3" fillId="0" borderId="4" xfId="0" applyFont="1" applyBorder="1" applyAlignment="1">
      <alignment horizontal="right"/>
    </xf>
    <xf numFmtId="179" fontId="9" fillId="3" borderId="3" xfId="0" applyNumberFormat="1" applyFont="1" applyFill="1" applyBorder="1" applyAlignment="1" applyProtection="1">
      <alignment horizontal="center" vertical="center"/>
      <protection locked="0"/>
    </xf>
    <xf numFmtId="0" fontId="9" fillId="3" borderId="3" xfId="0" applyFont="1" applyFill="1" applyBorder="1" applyAlignment="1" applyProtection="1">
      <alignment horizontal="center" vertical="center"/>
      <protection locked="0"/>
    </xf>
    <xf numFmtId="0" fontId="0" fillId="3" borderId="3" xfId="0" applyFill="1" applyBorder="1" applyAlignment="1" applyProtection="1">
      <alignment horizontal="center" vertical="center"/>
      <protection locked="0"/>
    </xf>
    <xf numFmtId="0" fontId="9" fillId="3" borderId="3" xfId="0" applyFont="1" applyFill="1" applyBorder="1" applyAlignment="1" applyProtection="1">
      <alignment horizontal="left" vertical="center"/>
      <protection locked="0"/>
    </xf>
    <xf numFmtId="0" fontId="9" fillId="3" borderId="3" xfId="0" applyFont="1" applyFill="1" applyBorder="1" applyAlignment="1" applyProtection="1">
      <alignment vertical="center"/>
      <protection locked="0"/>
    </xf>
    <xf numFmtId="0" fontId="10" fillId="3" borderId="3" xfId="0" applyFont="1" applyFill="1" applyBorder="1" applyAlignment="1" applyProtection="1">
      <alignment horizontal="left" vertical="center"/>
      <protection locked="0"/>
    </xf>
    <xf numFmtId="0" fontId="10" fillId="3" borderId="3" xfId="0" applyFont="1" applyFill="1" applyBorder="1" applyAlignment="1" applyProtection="1">
      <alignment horizontal="center" vertical="center"/>
      <protection locked="0"/>
    </xf>
    <xf numFmtId="179" fontId="0" fillId="3" borderId="3" xfId="0" applyNumberFormat="1" applyFill="1" applyBorder="1" applyAlignment="1" applyProtection="1">
      <alignment horizontal="left" vertical="center"/>
      <protection locked="0"/>
    </xf>
    <xf numFmtId="0" fontId="9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 applyProtection="1">
      <alignment horizontal="center"/>
      <protection locked="0"/>
    </xf>
    <xf numFmtId="0" fontId="15" fillId="0" borderId="0" xfId="0" applyFont="1" applyAlignment="1">
      <alignment horizontal="left"/>
    </xf>
    <xf numFmtId="0" fontId="0" fillId="0" borderId="12" xfId="0" applyBorder="1" applyAlignment="1" applyProtection="1">
      <alignment horizontal="center"/>
      <protection locked="0"/>
    </xf>
    <xf numFmtId="0" fontId="15" fillId="0" borderId="0" xfId="0" applyFont="1" applyAlignment="1">
      <alignment horizontal="left" shrinkToFit="1"/>
    </xf>
    <xf numFmtId="0" fontId="2" fillId="3" borderId="3" xfId="0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left" wrapText="1"/>
    </xf>
    <xf numFmtId="0" fontId="24" fillId="0" borderId="0" xfId="0" applyFont="1"/>
    <xf numFmtId="0" fontId="25" fillId="0" borderId="0" xfId="0" applyFont="1"/>
    <xf numFmtId="0" fontId="24" fillId="0" borderId="0" xfId="0" applyFont="1" applyAlignment="1">
      <alignment vertical="center"/>
    </xf>
    <xf numFmtId="0" fontId="26" fillId="0" borderId="0" xfId="0" applyFont="1" applyAlignment="1">
      <alignment horizontal="distributed"/>
    </xf>
    <xf numFmtId="0" fontId="24" fillId="0" borderId="0" xfId="0" applyFont="1" applyAlignment="1">
      <alignment horizontal="left"/>
    </xf>
    <xf numFmtId="176" fontId="24" fillId="0" borderId="0" xfId="0" applyNumberFormat="1" applyFont="1" applyAlignment="1">
      <alignment horizontal="left"/>
    </xf>
    <xf numFmtId="0" fontId="27" fillId="0" borderId="0" xfId="0" applyFont="1" applyAlignment="1">
      <alignment horizontal="left" shrinkToFit="1"/>
    </xf>
    <xf numFmtId="0" fontId="31" fillId="0" borderId="0" xfId="0" applyFont="1" applyAlignment="1">
      <alignment horizontal="left"/>
    </xf>
    <xf numFmtId="0" fontId="32" fillId="0" borderId="0" xfId="0" applyFont="1" applyAlignment="1">
      <alignment horizontal="left"/>
    </xf>
    <xf numFmtId="0" fontId="31" fillId="0" borderId="0" xfId="0" applyFont="1" applyAlignment="1">
      <alignment horizontal="left" wrapText="1"/>
    </xf>
    <xf numFmtId="56" fontId="26" fillId="0" borderId="5" xfId="0" applyNumberFormat="1" applyFont="1" applyBorder="1" applyProtection="1">
      <protection locked="0"/>
    </xf>
    <xf numFmtId="0" fontId="26" fillId="0" borderId="5" xfId="0" applyFont="1" applyBorder="1" applyProtection="1">
      <protection locked="0"/>
    </xf>
    <xf numFmtId="0" fontId="33" fillId="0" borderId="5" xfId="0" applyFont="1" applyBorder="1" applyProtection="1">
      <protection locked="0"/>
    </xf>
    <xf numFmtId="0" fontId="8" fillId="0" borderId="5" xfId="0" applyFont="1" applyBorder="1" applyAlignment="1" applyProtection="1">
      <alignment horizontal="left"/>
      <protection locked="0"/>
    </xf>
    <xf numFmtId="0" fontId="8" fillId="0" borderId="13" xfId="0" applyFont="1" applyBorder="1" applyAlignment="1" applyProtection="1">
      <alignment horizontal="left"/>
      <protection locked="0"/>
    </xf>
    <xf numFmtId="56" fontId="8" fillId="0" borderId="5" xfId="0" applyNumberFormat="1" applyFont="1" applyBorder="1" applyAlignment="1" applyProtection="1">
      <alignment horizontal="center"/>
      <protection locked="0"/>
    </xf>
    <xf numFmtId="0" fontId="12" fillId="0" borderId="7" xfId="0" applyFont="1" applyBorder="1" applyAlignment="1">
      <alignment horizontal="left" vertical="center"/>
    </xf>
    <xf numFmtId="58" fontId="3" fillId="0" borderId="0" xfId="0" applyNumberFormat="1" applyFont="1" applyAlignment="1">
      <alignment vertical="center"/>
    </xf>
    <xf numFmtId="0" fontId="23" fillId="0" borderId="2" xfId="0" applyFont="1" applyBorder="1" applyAlignment="1">
      <alignment horizontal="left" shrinkToFit="1"/>
    </xf>
    <xf numFmtId="0" fontId="5" fillId="0" borderId="1" xfId="0" applyFont="1" applyBorder="1" applyAlignment="1">
      <alignment horizontal="left" shrinkToFit="1"/>
    </xf>
    <xf numFmtId="177" fontId="5" fillId="0" borderId="1" xfId="0" applyNumberFormat="1" applyFont="1" applyBorder="1" applyAlignment="1">
      <alignment horizontal="left" shrinkToFit="1"/>
    </xf>
    <xf numFmtId="0" fontId="8" fillId="0" borderId="5" xfId="0" applyFont="1" applyBorder="1" applyProtection="1">
      <protection locked="0"/>
    </xf>
    <xf numFmtId="0" fontId="8" fillId="0" borderId="5" xfId="0" applyFont="1" applyBorder="1" applyAlignment="1" applyProtection="1">
      <alignment horizontal="left" wrapText="1"/>
      <protection locked="0"/>
    </xf>
    <xf numFmtId="0" fontId="8" fillId="0" borderId="6" xfId="0" applyFont="1" applyBorder="1" applyAlignment="1" applyProtection="1">
      <alignment horizontal="left"/>
      <protection locked="0"/>
    </xf>
    <xf numFmtId="56" fontId="8" fillId="0" borderId="5" xfId="0" applyNumberFormat="1" applyFont="1" applyBorder="1" applyProtection="1">
      <protection locked="0"/>
    </xf>
    <xf numFmtId="177" fontId="8" fillId="0" borderId="5" xfId="0" applyNumberFormat="1" applyFont="1" applyBorder="1" applyProtection="1">
      <protection locked="0"/>
    </xf>
    <xf numFmtId="0" fontId="8" fillId="0" borderId="5" xfId="0" applyFont="1" applyBorder="1" applyAlignment="1" applyProtection="1">
      <alignment horizontal="center"/>
      <protection locked="0"/>
    </xf>
    <xf numFmtId="0" fontId="26" fillId="0" borderId="5" xfId="0" applyFont="1" applyBorder="1" applyAlignment="1" applyProtection="1">
      <alignment horizontal="left" wrapText="1"/>
      <protection locked="0"/>
    </xf>
    <xf numFmtId="0" fontId="19" fillId="0" borderId="9" xfId="0" applyFont="1" applyBorder="1" applyAlignment="1" applyProtection="1">
      <alignment horizontal="left"/>
      <protection locked="0"/>
    </xf>
    <xf numFmtId="0" fontId="26" fillId="0" borderId="5" xfId="0" applyFont="1" applyBorder="1" applyAlignment="1" applyProtection="1">
      <alignment horizontal="center"/>
      <protection locked="0"/>
    </xf>
    <xf numFmtId="0" fontId="26" fillId="0" borderId="5" xfId="0" applyFont="1" applyBorder="1" applyAlignment="1" applyProtection="1">
      <alignment horizontal="left"/>
      <protection locked="0"/>
    </xf>
    <xf numFmtId="0" fontId="18" fillId="0" borderId="5" xfId="0" applyFont="1" applyBorder="1" applyAlignment="1" applyProtection="1">
      <alignment horizontal="left" wrapText="1"/>
      <protection locked="0"/>
    </xf>
    <xf numFmtId="56" fontId="26" fillId="0" borderId="5" xfId="0" applyNumberFormat="1" applyFont="1" applyBorder="1" applyProtection="1">
      <protection locked="0"/>
    </xf>
    <xf numFmtId="0" fontId="28" fillId="0" borderId="5" xfId="0" applyFont="1" applyBorder="1" applyProtection="1">
      <protection locked="0"/>
    </xf>
    <xf numFmtId="0" fontId="30" fillId="0" borderId="8" xfId="0" applyFont="1" applyBorder="1" applyAlignment="1">
      <alignment horizontal="left" vertical="center"/>
    </xf>
    <xf numFmtId="58" fontId="27" fillId="0" borderId="0" xfId="0" applyNumberFormat="1" applyFont="1" applyAlignment="1">
      <alignment vertical="center"/>
    </xf>
    <xf numFmtId="0" fontId="5" fillId="0" borderId="0" xfId="0" applyFont="1" applyAlignment="1">
      <alignment horizontal="left" shrinkToFit="1"/>
    </xf>
    <xf numFmtId="177" fontId="25" fillId="0" borderId="11" xfId="0" applyNumberFormat="1" applyFont="1" applyBorder="1" applyAlignment="1">
      <alignment horizontal="left" shrinkToFit="1"/>
    </xf>
    <xf numFmtId="0" fontId="26" fillId="0" borderId="0" xfId="0" applyFont="1" applyAlignment="1">
      <alignment horizontal="left"/>
    </xf>
    <xf numFmtId="0" fontId="27" fillId="0" borderId="10" xfId="0" applyFont="1" applyBorder="1" applyAlignment="1" applyProtection="1">
      <alignment horizontal="center"/>
      <protection locked="0"/>
    </xf>
    <xf numFmtId="180" fontId="24" fillId="0" borderId="5" xfId="0" applyNumberFormat="1" applyFont="1" applyBorder="1" applyAlignment="1" applyProtection="1">
      <alignment horizontal="left"/>
      <protection locked="0"/>
    </xf>
    <xf numFmtId="56" fontId="28" fillId="0" borderId="5" xfId="0" applyNumberFormat="1" applyFont="1" applyBorder="1" applyProtection="1">
      <protection locked="0"/>
    </xf>
    <xf numFmtId="56" fontId="26" fillId="0" borderId="5" xfId="0" applyNumberFormat="1" applyFont="1" applyBorder="1" applyAlignment="1" applyProtection="1">
      <alignment horizontal="center"/>
      <protection locked="0"/>
    </xf>
    <xf numFmtId="0" fontId="26" fillId="0" borderId="5" xfId="0" applyFont="1" applyBorder="1" applyProtection="1">
      <protection locked="0"/>
    </xf>
    <xf numFmtId="56" fontId="26" fillId="0" borderId="5" xfId="0" applyNumberFormat="1" applyFont="1" applyBorder="1" applyAlignment="1" applyProtection="1">
      <alignment horizontal="left"/>
      <protection locked="0"/>
    </xf>
    <xf numFmtId="0" fontId="14" fillId="0" borderId="5" xfId="0" applyFont="1" applyBorder="1" applyProtection="1">
      <protection locked="0"/>
    </xf>
    <xf numFmtId="0" fontId="18" fillId="0" borderId="5" xfId="0" applyFont="1" applyBorder="1" applyAlignment="1" applyProtection="1">
      <alignment horizontal="left"/>
      <protection locked="0"/>
    </xf>
    <xf numFmtId="0" fontId="18" fillId="0" borderId="5" xfId="0" applyFont="1" applyBorder="1" applyAlignment="1" applyProtection="1">
      <alignment horizontal="center" wrapText="1"/>
      <protection locked="0"/>
    </xf>
    <xf numFmtId="0" fontId="18" fillId="0" borderId="5" xfId="0" applyFont="1" applyBorder="1" applyAlignment="1" applyProtection="1">
      <alignment horizontal="center"/>
      <protection locked="0"/>
    </xf>
    <xf numFmtId="56" fontId="18" fillId="0" borderId="5" xfId="0" applyNumberFormat="1" applyFont="1" applyBorder="1" applyProtection="1">
      <protection locked="0"/>
    </xf>
    <xf numFmtId="0" fontId="18" fillId="0" borderId="5" xfId="0" applyFont="1" applyBorder="1" applyProtection="1">
      <protection locked="0"/>
    </xf>
    <xf numFmtId="0" fontId="11" fillId="0" borderId="8" xfId="0" applyFont="1" applyBorder="1" applyAlignment="1">
      <alignment horizontal="left" vertical="center"/>
    </xf>
    <xf numFmtId="58" fontId="15" fillId="0" borderId="0" xfId="0" applyNumberFormat="1" applyFont="1" applyAlignment="1">
      <alignment vertical="center"/>
    </xf>
    <xf numFmtId="177" fontId="5" fillId="0" borderId="11" xfId="0" applyNumberFormat="1" applyFont="1" applyBorder="1" applyAlignment="1">
      <alignment horizontal="left" shrinkToFit="1"/>
    </xf>
    <xf numFmtId="56" fontId="16" fillId="0" borderId="5" xfId="0" applyNumberFormat="1" applyFont="1" applyBorder="1" applyProtection="1">
      <protection locked="0"/>
    </xf>
    <xf numFmtId="0" fontId="16" fillId="0" borderId="5" xfId="0" applyFont="1" applyBorder="1" applyProtection="1">
      <protection locked="0"/>
    </xf>
    <xf numFmtId="0" fontId="2" fillId="0" borderId="0" xfId="0" applyFont="1" applyAlignment="1">
      <alignment horizontal="left"/>
    </xf>
    <xf numFmtId="0" fontId="14" fillId="0" borderId="10" xfId="0" applyFont="1" applyBorder="1" applyAlignment="1" applyProtection="1">
      <alignment horizontal="center"/>
      <protection locked="0"/>
    </xf>
    <xf numFmtId="180" fontId="13" fillId="0" borderId="5" xfId="0" applyNumberFormat="1" applyFont="1" applyBorder="1" applyAlignment="1" applyProtection="1">
      <alignment horizontal="left"/>
      <protection locked="0"/>
    </xf>
    <xf numFmtId="0" fontId="13" fillId="0" borderId="5" xfId="0" applyFont="1" applyBorder="1" applyProtection="1">
      <protection locked="0"/>
    </xf>
    <xf numFmtId="0" fontId="22" fillId="0" borderId="5" xfId="0" applyFont="1" applyBorder="1" applyProtection="1">
      <protection locked="0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33CCFF"/>
      <color rgb="FF3366FF"/>
      <color rgb="FF6699FF"/>
      <color rgb="FF3399FF"/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84364</xdr:colOff>
      <xdr:row>3</xdr:row>
      <xdr:rowOff>1360</xdr:rowOff>
    </xdr:from>
    <xdr:to>
      <xdr:col>7</xdr:col>
      <xdr:colOff>18387</xdr:colOff>
      <xdr:row>6</xdr:row>
      <xdr:rowOff>54429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78E4F1D6-E870-9C32-7766-118B9266EF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23" t="25707" r="20032" b="27312"/>
        <a:stretch/>
      </xdr:blipFill>
      <xdr:spPr>
        <a:xfrm>
          <a:off x="3676650" y="681717"/>
          <a:ext cx="2845951" cy="100556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78922</xdr:colOff>
      <xdr:row>3</xdr:row>
      <xdr:rowOff>10768</xdr:rowOff>
    </xdr:from>
    <xdr:to>
      <xdr:col>6</xdr:col>
      <xdr:colOff>2748644</xdr:colOff>
      <xdr:row>6</xdr:row>
      <xdr:rowOff>54456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1CAEFE7-ECC9-4B02-9E8C-869B6F1F7B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23" t="25707" r="20032" b="27312"/>
        <a:stretch/>
      </xdr:blipFill>
      <xdr:spPr>
        <a:xfrm>
          <a:off x="3648726" y="681659"/>
          <a:ext cx="2810527" cy="99618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28575</xdr:colOff>
      <xdr:row>3</xdr:row>
      <xdr:rowOff>9525</xdr:rowOff>
    </xdr:from>
    <xdr:to>
      <xdr:col>6</xdr:col>
      <xdr:colOff>2676526</xdr:colOff>
      <xdr:row>5</xdr:row>
      <xdr:rowOff>373634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D1E1212-E5E6-43B1-9DEF-FB6027CC6D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23" t="25707" r="20032" b="27312"/>
        <a:stretch/>
      </xdr:blipFill>
      <xdr:spPr>
        <a:xfrm>
          <a:off x="3743325" y="676275"/>
          <a:ext cx="2647951" cy="93560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1.230\share\03&#26989;&#21209;&#31649;&#29702;\2026-R08\01-2&#12501;&#12457;&#12523;&#12480;&#35211;&#26412;_&#24314;&#29289;\08&#12381;&#12398;&#20182;\&#26696;&#20214;&#31649;&#29702;&#34920;2023.8ver&#65288;&#24314;&#29289;&#65289;.xlsx" TargetMode="External"/><Relationship Id="rId1" Type="http://schemas.openxmlformats.org/officeDocument/2006/relationships/externalLinkPath" Target="&#26696;&#20214;&#31649;&#29702;&#34920;2023.8ver&#65288;&#24314;&#29289;&#652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受付記録（一般）"/>
      <sheetName val="建物ﾁｪｯｸ項目"/>
    </sheetNames>
    <sheetDataSet>
      <sheetData sheetId="0">
        <row r="14">
          <cell r="E14"/>
        </row>
        <row r="23">
          <cell r="B23"/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1"/>
  <sheetViews>
    <sheetView tabSelected="1" workbookViewId="0">
      <selection activeCell="C13" sqref="C13"/>
    </sheetView>
  </sheetViews>
  <sheetFormatPr defaultRowHeight="13.5" x14ac:dyDescent="0.15"/>
  <cols>
    <col min="1" max="1" width="11" style="2" bestFit="1" customWidth="1"/>
    <col min="2" max="2" width="27.5" style="2" customWidth="1"/>
    <col min="3" max="5" width="22.75" style="2" customWidth="1"/>
    <col min="6" max="6" width="15" style="2" customWidth="1"/>
    <col min="7" max="7" width="30" style="2" bestFit="1" customWidth="1"/>
    <col min="8" max="8" width="13.875" style="3" bestFit="1" customWidth="1"/>
    <col min="9" max="16384" width="9" style="2"/>
  </cols>
  <sheetData>
    <row r="1" spans="1:21" x14ac:dyDescent="0.15">
      <c r="A1" s="9" t="s">
        <v>5</v>
      </c>
      <c r="B1" s="34">
        <v>1</v>
      </c>
      <c r="U1" s="4" t="s">
        <v>8</v>
      </c>
    </row>
    <row r="2" spans="1:21" x14ac:dyDescent="0.15">
      <c r="A2" s="11" t="s">
        <v>26</v>
      </c>
      <c r="B2" s="12">
        <f>VLOOKUP($B$1,A11:F211,2)</f>
        <v>0</v>
      </c>
      <c r="U2" s="4" t="s">
        <v>9</v>
      </c>
    </row>
    <row r="3" spans="1:21" x14ac:dyDescent="0.15">
      <c r="A3" s="11" t="s">
        <v>40</v>
      </c>
      <c r="B3" s="12">
        <f>VLOOKUP($B$1,A11:F211,3)</f>
        <v>0</v>
      </c>
      <c r="U3" s="4"/>
    </row>
    <row r="4" spans="1:21" x14ac:dyDescent="0.15">
      <c r="A4" s="10" t="s">
        <v>1</v>
      </c>
      <c r="B4" s="41" t="s">
        <v>45</v>
      </c>
      <c r="U4" s="4"/>
    </row>
    <row r="5" spans="1:21" x14ac:dyDescent="0.15">
      <c r="A5" s="10" t="s">
        <v>2</v>
      </c>
      <c r="B5" s="1">
        <v>3</v>
      </c>
      <c r="U5" s="4"/>
    </row>
    <row r="6" spans="1:21" x14ac:dyDescent="0.15">
      <c r="A6" s="11" t="s">
        <v>11</v>
      </c>
      <c r="B6" s="12" t="str">
        <f>VLOOKUP($B$1,A11:F211,6)</f>
        <v>053-451-2560</v>
      </c>
      <c r="U6" s="4"/>
    </row>
    <row r="7" spans="1:21" x14ac:dyDescent="0.15">
      <c r="A7" s="11" t="s">
        <v>13</v>
      </c>
      <c r="B7" s="1"/>
      <c r="U7" s="4"/>
    </row>
    <row r="8" spans="1:21" x14ac:dyDescent="0.15">
      <c r="A8" s="10" t="s">
        <v>6</v>
      </c>
      <c r="B8" s="1" t="s">
        <v>57</v>
      </c>
      <c r="U8" s="4"/>
    </row>
    <row r="9" spans="1:21" x14ac:dyDescent="0.15">
      <c r="A9" s="11" t="s">
        <v>14</v>
      </c>
      <c r="B9" s="1" t="s">
        <v>48</v>
      </c>
      <c r="U9" s="4"/>
    </row>
    <row r="10" spans="1:21" x14ac:dyDescent="0.15">
      <c r="A10" s="11" t="s">
        <v>12</v>
      </c>
      <c r="B10" t="s">
        <v>50</v>
      </c>
      <c r="U10" s="4"/>
    </row>
    <row r="11" spans="1:21" x14ac:dyDescent="0.15">
      <c r="A11" s="35" t="s">
        <v>7</v>
      </c>
      <c r="B11" s="36" t="s">
        <v>26</v>
      </c>
      <c r="C11" s="36" t="s">
        <v>41</v>
      </c>
      <c r="D11" s="36" t="s">
        <v>42</v>
      </c>
      <c r="E11" s="36" t="s">
        <v>43</v>
      </c>
      <c r="F11" s="35" t="s">
        <v>0</v>
      </c>
    </row>
    <row r="12" spans="1:21" x14ac:dyDescent="0.15">
      <c r="A12" s="27">
        <v>1</v>
      </c>
      <c r="B12" s="1">
        <f>'[1]受付記録（一般）'!$B$23</f>
        <v>0</v>
      </c>
      <c r="C12" s="1">
        <f>'[1]受付記録（一般）'!$E$14</f>
        <v>0</v>
      </c>
      <c r="D12" s="1" t="s">
        <v>58</v>
      </c>
      <c r="E12" s="1" t="s">
        <v>59</v>
      </c>
      <c r="F12" s="1" t="s">
        <v>60</v>
      </c>
    </row>
    <row r="13" spans="1:21" x14ac:dyDescent="0.15">
      <c r="A13" s="27">
        <v>2</v>
      </c>
      <c r="B13" s="1" t="s">
        <v>52</v>
      </c>
      <c r="C13" s="1" t="s">
        <v>51</v>
      </c>
      <c r="D13" s="29"/>
      <c r="E13" s="29"/>
      <c r="F13" s="29"/>
    </row>
    <row r="14" spans="1:21" x14ac:dyDescent="0.15">
      <c r="A14" s="27">
        <v>3</v>
      </c>
      <c r="B14" s="1"/>
      <c r="C14" s="1"/>
      <c r="D14" s="29"/>
      <c r="E14" s="29"/>
      <c r="F14" s="29"/>
    </row>
    <row r="15" spans="1:21" x14ac:dyDescent="0.15">
      <c r="A15" s="27">
        <v>4</v>
      </c>
      <c r="B15" s="1"/>
      <c r="C15" s="1"/>
      <c r="D15" s="29"/>
      <c r="E15" s="29"/>
      <c r="F15" s="29"/>
    </row>
    <row r="16" spans="1:21" x14ac:dyDescent="0.15">
      <c r="A16" s="27">
        <v>5</v>
      </c>
      <c r="B16" s="30"/>
      <c r="C16" s="30"/>
      <c r="D16" s="28"/>
      <c r="E16" s="28"/>
      <c r="F16" s="28"/>
    </row>
    <row r="17" spans="1:6" x14ac:dyDescent="0.15">
      <c r="A17" s="27">
        <v>6</v>
      </c>
      <c r="B17" s="1"/>
      <c r="C17" s="1"/>
      <c r="D17" s="29"/>
      <c r="E17" s="29"/>
      <c r="F17" s="29"/>
    </row>
    <row r="18" spans="1:6" x14ac:dyDescent="0.15">
      <c r="A18" s="27">
        <v>7</v>
      </c>
      <c r="B18" s="30"/>
      <c r="C18" s="30"/>
      <c r="D18" s="29"/>
      <c r="E18" s="29"/>
      <c r="F18" s="29"/>
    </row>
    <row r="19" spans="1:6" x14ac:dyDescent="0.15">
      <c r="A19" s="27">
        <v>8</v>
      </c>
      <c r="B19" s="30"/>
      <c r="C19" s="1"/>
      <c r="D19" s="28"/>
      <c r="E19" s="28"/>
      <c r="F19" s="28"/>
    </row>
    <row r="20" spans="1:6" x14ac:dyDescent="0.15">
      <c r="A20" s="27">
        <v>9</v>
      </c>
      <c r="B20" s="1"/>
      <c r="C20" s="1"/>
      <c r="D20" s="29"/>
      <c r="E20" s="29"/>
      <c r="F20" s="29"/>
    </row>
    <row r="21" spans="1:6" x14ac:dyDescent="0.15">
      <c r="A21" s="27">
        <v>10</v>
      </c>
      <c r="B21" s="1"/>
      <c r="C21" s="1"/>
      <c r="D21" s="29"/>
      <c r="E21" s="29"/>
      <c r="F21" s="29"/>
    </row>
    <row r="22" spans="1:6" x14ac:dyDescent="0.15">
      <c r="A22" s="27">
        <v>11</v>
      </c>
      <c r="B22" s="30"/>
      <c r="C22" s="30"/>
      <c r="D22" s="28"/>
      <c r="E22" s="28"/>
      <c r="F22" s="28"/>
    </row>
    <row r="23" spans="1:6" x14ac:dyDescent="0.15">
      <c r="A23" s="27">
        <v>12</v>
      </c>
      <c r="B23" s="30"/>
      <c r="C23" s="30"/>
      <c r="D23" s="28"/>
      <c r="E23" s="28"/>
      <c r="F23" s="28"/>
    </row>
    <row r="24" spans="1:6" x14ac:dyDescent="0.15">
      <c r="A24" s="27">
        <v>13</v>
      </c>
      <c r="B24" s="1"/>
      <c r="C24" s="1"/>
      <c r="D24" s="29"/>
      <c r="E24" s="29"/>
      <c r="F24" s="29"/>
    </row>
    <row r="25" spans="1:6" x14ac:dyDescent="0.15">
      <c r="A25" s="27">
        <v>14</v>
      </c>
      <c r="B25" s="30"/>
      <c r="C25" s="30"/>
      <c r="D25" s="28"/>
      <c r="E25" s="28"/>
      <c r="F25" s="28"/>
    </row>
    <row r="26" spans="1:6" x14ac:dyDescent="0.15">
      <c r="A26" s="27">
        <v>15</v>
      </c>
      <c r="B26" s="1"/>
      <c r="C26" s="1"/>
      <c r="D26" s="29"/>
      <c r="E26" s="29"/>
      <c r="F26" s="29"/>
    </row>
    <row r="27" spans="1:6" x14ac:dyDescent="0.15">
      <c r="A27" s="27">
        <v>16</v>
      </c>
      <c r="B27" s="30"/>
      <c r="C27" s="1"/>
      <c r="D27" s="29"/>
      <c r="E27" s="29"/>
      <c r="F27" s="29"/>
    </row>
    <row r="28" spans="1:6" x14ac:dyDescent="0.15">
      <c r="A28" s="27">
        <v>17</v>
      </c>
      <c r="B28" s="1"/>
      <c r="C28" s="1"/>
      <c r="D28" s="29"/>
      <c r="E28" s="29"/>
      <c r="F28" s="29"/>
    </row>
    <row r="29" spans="1:6" x14ac:dyDescent="0.15">
      <c r="A29" s="27">
        <v>18</v>
      </c>
      <c r="B29" s="1"/>
      <c r="C29" s="1"/>
      <c r="D29" s="29"/>
      <c r="E29" s="29"/>
      <c r="F29" s="29"/>
    </row>
    <row r="30" spans="1:6" x14ac:dyDescent="0.15">
      <c r="A30" s="27">
        <v>19</v>
      </c>
      <c r="B30" s="1"/>
      <c r="C30" s="1"/>
      <c r="D30" s="29"/>
      <c r="E30" s="29"/>
      <c r="F30" s="29"/>
    </row>
    <row r="31" spans="1:6" x14ac:dyDescent="0.15">
      <c r="A31" s="27">
        <v>20</v>
      </c>
      <c r="B31" s="1"/>
      <c r="C31" s="1"/>
      <c r="D31" s="29"/>
      <c r="E31" s="29"/>
      <c r="F31" s="29"/>
    </row>
    <row r="32" spans="1:6" x14ac:dyDescent="0.15">
      <c r="A32" s="27">
        <v>21</v>
      </c>
      <c r="B32" s="1"/>
      <c r="C32" s="1"/>
      <c r="D32" s="29"/>
      <c r="E32" s="29"/>
      <c r="F32" s="29"/>
    </row>
    <row r="33" spans="1:6" x14ac:dyDescent="0.15">
      <c r="A33" s="27">
        <v>22</v>
      </c>
      <c r="B33" s="1"/>
      <c r="C33" s="1"/>
      <c r="D33" s="29"/>
      <c r="E33" s="29"/>
      <c r="F33" s="29"/>
    </row>
    <row r="34" spans="1:6" x14ac:dyDescent="0.15">
      <c r="A34" s="27">
        <v>23</v>
      </c>
      <c r="B34" s="1"/>
      <c r="C34" s="1"/>
      <c r="D34" s="29"/>
      <c r="E34" s="29"/>
      <c r="F34" s="29"/>
    </row>
    <row r="35" spans="1:6" x14ac:dyDescent="0.15">
      <c r="A35" s="27">
        <v>24</v>
      </c>
      <c r="B35" s="30"/>
      <c r="C35" s="30"/>
      <c r="D35" s="28"/>
      <c r="E35" s="28"/>
      <c r="F35" s="28"/>
    </row>
    <row r="36" spans="1:6" x14ac:dyDescent="0.15">
      <c r="A36" s="27">
        <v>25</v>
      </c>
      <c r="B36" s="30"/>
      <c r="C36" s="30"/>
      <c r="D36" s="28"/>
      <c r="E36" s="28"/>
      <c r="F36" s="28"/>
    </row>
    <row r="37" spans="1:6" x14ac:dyDescent="0.15">
      <c r="A37" s="27">
        <v>26</v>
      </c>
      <c r="B37" s="1"/>
      <c r="C37" s="1"/>
      <c r="D37" s="29"/>
      <c r="E37" s="29"/>
      <c r="F37" s="29"/>
    </row>
    <row r="38" spans="1:6" x14ac:dyDescent="0.15">
      <c r="A38" s="27">
        <v>27</v>
      </c>
      <c r="B38" s="30"/>
      <c r="C38" s="1"/>
      <c r="D38" s="28"/>
      <c r="E38" s="28"/>
      <c r="F38" s="28"/>
    </row>
    <row r="39" spans="1:6" x14ac:dyDescent="0.15">
      <c r="A39" s="27">
        <v>28</v>
      </c>
      <c r="B39" s="30"/>
      <c r="C39" s="30"/>
      <c r="D39" s="28"/>
      <c r="E39" s="28"/>
      <c r="F39" s="28"/>
    </row>
    <row r="40" spans="1:6" x14ac:dyDescent="0.15">
      <c r="A40" s="27">
        <v>29</v>
      </c>
      <c r="B40" s="1"/>
      <c r="C40" s="1"/>
      <c r="D40" s="29"/>
      <c r="E40" s="29"/>
      <c r="F40" s="29"/>
    </row>
    <row r="41" spans="1:6" x14ac:dyDescent="0.15">
      <c r="A41" s="27">
        <v>30</v>
      </c>
      <c r="B41" s="1"/>
      <c r="C41" s="1"/>
      <c r="D41" s="29"/>
      <c r="E41" s="29"/>
      <c r="F41" s="29"/>
    </row>
    <row r="42" spans="1:6" x14ac:dyDescent="0.15">
      <c r="A42" s="27">
        <v>31</v>
      </c>
      <c r="B42" s="30"/>
      <c r="C42" s="30"/>
      <c r="D42" s="28"/>
      <c r="E42" s="28"/>
      <c r="F42" s="28"/>
    </row>
    <row r="43" spans="1:6" x14ac:dyDescent="0.15">
      <c r="A43" s="27">
        <v>32</v>
      </c>
      <c r="B43" s="30"/>
      <c r="C43" s="30"/>
      <c r="D43" s="28"/>
      <c r="E43" s="28"/>
      <c r="F43" s="28"/>
    </row>
    <row r="44" spans="1:6" x14ac:dyDescent="0.15">
      <c r="A44" s="27">
        <v>33</v>
      </c>
      <c r="B44" s="30"/>
      <c r="C44" s="30"/>
      <c r="D44" s="28"/>
      <c r="E44" s="28"/>
      <c r="F44" s="28"/>
    </row>
    <row r="45" spans="1:6" x14ac:dyDescent="0.15">
      <c r="A45" s="27">
        <v>34</v>
      </c>
      <c r="B45" s="1"/>
      <c r="C45" s="1"/>
      <c r="D45" s="29"/>
      <c r="E45" s="29"/>
      <c r="F45" s="29"/>
    </row>
    <row r="46" spans="1:6" x14ac:dyDescent="0.15">
      <c r="A46" s="27">
        <v>35</v>
      </c>
      <c r="B46" s="30"/>
      <c r="C46" s="30"/>
      <c r="D46" s="28"/>
      <c r="E46" s="28"/>
      <c r="F46" s="28"/>
    </row>
    <row r="47" spans="1:6" x14ac:dyDescent="0.15">
      <c r="A47" s="27">
        <v>36</v>
      </c>
      <c r="B47" s="30"/>
      <c r="C47" s="30"/>
      <c r="D47" s="28"/>
      <c r="E47" s="28"/>
      <c r="F47" s="28"/>
    </row>
    <row r="48" spans="1:6" x14ac:dyDescent="0.15">
      <c r="A48" s="27">
        <v>37</v>
      </c>
      <c r="B48" s="30"/>
      <c r="C48" s="30"/>
      <c r="D48" s="28"/>
      <c r="E48" s="28"/>
      <c r="F48" s="28"/>
    </row>
    <row r="49" spans="1:6" x14ac:dyDescent="0.15">
      <c r="A49" s="27">
        <v>38</v>
      </c>
      <c r="B49" s="1"/>
      <c r="C49" s="1"/>
      <c r="D49" s="29"/>
      <c r="E49" s="29"/>
      <c r="F49" s="29"/>
    </row>
    <row r="50" spans="1:6" x14ac:dyDescent="0.15">
      <c r="A50" s="27">
        <v>39</v>
      </c>
      <c r="B50" s="30"/>
      <c r="C50" s="30"/>
      <c r="D50" s="28"/>
      <c r="E50" s="28"/>
      <c r="F50" s="28"/>
    </row>
    <row r="51" spans="1:6" x14ac:dyDescent="0.15">
      <c r="A51" s="27">
        <v>40</v>
      </c>
      <c r="B51" s="30"/>
      <c r="C51" s="30"/>
      <c r="D51" s="28"/>
      <c r="E51" s="28"/>
      <c r="F51" s="28"/>
    </row>
    <row r="52" spans="1:6" x14ac:dyDescent="0.15">
      <c r="A52" s="27">
        <v>41</v>
      </c>
      <c r="B52" s="1"/>
      <c r="C52" s="1"/>
      <c r="D52" s="29"/>
      <c r="E52" s="29"/>
      <c r="F52" s="29"/>
    </row>
    <row r="53" spans="1:6" x14ac:dyDescent="0.15">
      <c r="A53" s="27">
        <v>42</v>
      </c>
      <c r="B53" s="30"/>
      <c r="C53" s="30"/>
      <c r="D53" s="28"/>
      <c r="E53" s="28"/>
      <c r="F53" s="28"/>
    </row>
    <row r="54" spans="1:6" x14ac:dyDescent="0.15">
      <c r="A54" s="27">
        <v>43</v>
      </c>
      <c r="B54" s="30"/>
      <c r="C54" s="30"/>
      <c r="D54" s="28"/>
      <c r="E54" s="28"/>
      <c r="F54" s="28"/>
    </row>
    <row r="55" spans="1:6" x14ac:dyDescent="0.15">
      <c r="A55" s="27">
        <v>44</v>
      </c>
      <c r="B55" s="1"/>
      <c r="C55" s="1"/>
      <c r="D55" s="29"/>
      <c r="E55" s="29"/>
      <c r="F55" s="29"/>
    </row>
    <row r="56" spans="1:6" x14ac:dyDescent="0.15">
      <c r="A56" s="27">
        <v>45</v>
      </c>
      <c r="B56" s="30"/>
      <c r="C56" s="30"/>
      <c r="D56" s="28"/>
      <c r="E56" s="28"/>
      <c r="F56" s="28"/>
    </row>
    <row r="57" spans="1:6" x14ac:dyDescent="0.15">
      <c r="A57" s="27">
        <v>46</v>
      </c>
      <c r="B57" s="1"/>
      <c r="C57" s="1"/>
      <c r="D57" s="29"/>
      <c r="E57" s="29"/>
      <c r="F57" s="29"/>
    </row>
    <row r="58" spans="1:6" x14ac:dyDescent="0.15">
      <c r="A58" s="27">
        <v>47</v>
      </c>
      <c r="B58" s="30"/>
      <c r="C58" s="30"/>
      <c r="D58" s="28"/>
      <c r="E58" s="28"/>
      <c r="F58" s="28"/>
    </row>
    <row r="59" spans="1:6" x14ac:dyDescent="0.15">
      <c r="A59" s="27">
        <v>48</v>
      </c>
      <c r="B59" s="1"/>
      <c r="C59" s="1"/>
      <c r="D59" s="29"/>
      <c r="E59" s="29"/>
      <c r="F59" s="29"/>
    </row>
    <row r="60" spans="1:6" x14ac:dyDescent="0.15">
      <c r="A60" s="27">
        <v>49</v>
      </c>
      <c r="B60" s="1"/>
      <c r="C60" s="1"/>
      <c r="D60" s="29"/>
      <c r="E60" s="29"/>
      <c r="F60" s="29"/>
    </row>
    <row r="61" spans="1:6" x14ac:dyDescent="0.15">
      <c r="A61" s="27">
        <v>50</v>
      </c>
      <c r="B61" s="1"/>
      <c r="C61" s="30"/>
      <c r="D61" s="28"/>
      <c r="E61" s="28"/>
      <c r="F61" s="28"/>
    </row>
    <row r="62" spans="1:6" x14ac:dyDescent="0.15">
      <c r="A62" s="27">
        <v>51</v>
      </c>
      <c r="B62" s="1"/>
      <c r="C62" s="30"/>
      <c r="D62" s="28"/>
      <c r="E62" s="28"/>
      <c r="F62" s="28"/>
    </row>
    <row r="63" spans="1:6" x14ac:dyDescent="0.15">
      <c r="A63" s="27">
        <v>52</v>
      </c>
      <c r="B63" s="30"/>
      <c r="C63" s="30"/>
      <c r="D63" s="28"/>
      <c r="E63" s="28"/>
      <c r="F63" s="28"/>
    </row>
    <row r="64" spans="1:6" x14ac:dyDescent="0.15">
      <c r="A64" s="27">
        <v>53</v>
      </c>
      <c r="B64" s="30"/>
      <c r="C64" s="30"/>
      <c r="D64" s="28"/>
      <c r="E64" s="28"/>
      <c r="F64" s="28"/>
    </row>
    <row r="65" spans="1:6" x14ac:dyDescent="0.15">
      <c r="A65" s="27">
        <v>54</v>
      </c>
      <c r="B65" s="30"/>
      <c r="C65" s="30"/>
      <c r="D65" s="28"/>
      <c r="E65" s="28"/>
      <c r="F65" s="28"/>
    </row>
    <row r="66" spans="1:6" x14ac:dyDescent="0.15">
      <c r="A66" s="27">
        <v>55</v>
      </c>
      <c r="B66" s="1"/>
      <c r="C66" s="1"/>
      <c r="D66" s="29"/>
      <c r="E66" s="29"/>
      <c r="F66" s="29"/>
    </row>
    <row r="67" spans="1:6" x14ac:dyDescent="0.15">
      <c r="A67" s="27">
        <v>56</v>
      </c>
      <c r="B67" s="1"/>
      <c r="C67" s="1"/>
      <c r="D67" s="29"/>
      <c r="E67" s="29"/>
      <c r="F67" s="29"/>
    </row>
    <row r="68" spans="1:6" x14ac:dyDescent="0.15">
      <c r="A68" s="27">
        <v>57</v>
      </c>
      <c r="B68" s="30"/>
      <c r="C68" s="30"/>
      <c r="D68" s="28"/>
      <c r="E68" s="28"/>
      <c r="F68" s="28"/>
    </row>
    <row r="69" spans="1:6" x14ac:dyDescent="0.15">
      <c r="A69" s="27">
        <v>58</v>
      </c>
      <c r="B69" s="30"/>
      <c r="C69" s="30"/>
      <c r="D69" s="28"/>
      <c r="E69" s="28"/>
      <c r="F69" s="28"/>
    </row>
    <row r="70" spans="1:6" x14ac:dyDescent="0.15">
      <c r="A70" s="27">
        <v>59</v>
      </c>
      <c r="B70" s="30"/>
      <c r="C70" s="30"/>
      <c r="D70" s="28"/>
      <c r="E70" s="28"/>
      <c r="F70" s="28"/>
    </row>
    <row r="71" spans="1:6" x14ac:dyDescent="0.15">
      <c r="A71" s="27">
        <v>60</v>
      </c>
      <c r="B71" s="1"/>
      <c r="C71" s="1"/>
      <c r="D71" s="29"/>
      <c r="E71" s="29"/>
      <c r="F71" s="29"/>
    </row>
    <row r="72" spans="1:6" x14ac:dyDescent="0.15">
      <c r="A72" s="27">
        <v>61</v>
      </c>
      <c r="B72" s="1"/>
      <c r="C72" s="1"/>
      <c r="D72" s="29"/>
      <c r="E72" s="29"/>
      <c r="F72" s="29"/>
    </row>
    <row r="73" spans="1:6" x14ac:dyDescent="0.15">
      <c r="A73" s="27">
        <v>62</v>
      </c>
      <c r="B73" s="30"/>
      <c r="C73" s="30"/>
      <c r="D73" s="28"/>
      <c r="E73" s="28"/>
      <c r="F73" s="28"/>
    </row>
    <row r="74" spans="1:6" x14ac:dyDescent="0.15">
      <c r="A74" s="27">
        <v>63</v>
      </c>
      <c r="B74" s="30"/>
      <c r="C74" s="30"/>
      <c r="D74" s="28"/>
      <c r="E74" s="28"/>
      <c r="F74" s="28"/>
    </row>
    <row r="75" spans="1:6" x14ac:dyDescent="0.15">
      <c r="A75" s="27">
        <v>64</v>
      </c>
      <c r="B75" s="30"/>
      <c r="C75" s="30"/>
      <c r="D75" s="28"/>
      <c r="E75" s="28"/>
      <c r="F75" s="28"/>
    </row>
    <row r="76" spans="1:6" x14ac:dyDescent="0.15">
      <c r="A76" s="27">
        <v>65</v>
      </c>
      <c r="B76" s="1"/>
      <c r="C76" s="1"/>
      <c r="D76" s="29"/>
      <c r="E76" s="29"/>
      <c r="F76" s="29"/>
    </row>
    <row r="77" spans="1:6" x14ac:dyDescent="0.15">
      <c r="A77" s="27">
        <v>66</v>
      </c>
      <c r="B77" s="30"/>
      <c r="C77" s="30"/>
      <c r="D77" s="28"/>
      <c r="E77" s="28"/>
      <c r="F77" s="28"/>
    </row>
    <row r="78" spans="1:6" x14ac:dyDescent="0.15">
      <c r="A78" s="27">
        <v>67</v>
      </c>
      <c r="B78" s="1"/>
      <c r="C78" s="1"/>
      <c r="D78" s="29"/>
      <c r="E78" s="29"/>
      <c r="F78" s="29"/>
    </row>
    <row r="79" spans="1:6" x14ac:dyDescent="0.15">
      <c r="A79" s="27">
        <v>68</v>
      </c>
      <c r="B79" s="1"/>
      <c r="C79" s="1"/>
      <c r="D79" s="29"/>
      <c r="E79" s="29"/>
      <c r="F79" s="29"/>
    </row>
    <row r="80" spans="1:6" x14ac:dyDescent="0.15">
      <c r="A80" s="27">
        <v>69</v>
      </c>
      <c r="B80" s="30"/>
      <c r="C80" s="30"/>
      <c r="D80" s="28"/>
      <c r="E80" s="28"/>
      <c r="F80" s="28"/>
    </row>
    <row r="81" spans="1:6" x14ac:dyDescent="0.15">
      <c r="A81" s="27">
        <v>70</v>
      </c>
      <c r="B81" s="30"/>
      <c r="C81" s="30"/>
      <c r="D81" s="28"/>
      <c r="E81" s="28"/>
      <c r="F81" s="28"/>
    </row>
    <row r="82" spans="1:6" x14ac:dyDescent="0.15">
      <c r="A82" s="27">
        <v>71</v>
      </c>
      <c r="B82" s="30"/>
      <c r="C82" s="30"/>
      <c r="D82" s="28"/>
      <c r="E82" s="28"/>
      <c r="F82" s="28"/>
    </row>
    <row r="83" spans="1:6" x14ac:dyDescent="0.15">
      <c r="A83" s="27">
        <v>72</v>
      </c>
      <c r="B83" s="30"/>
      <c r="C83" s="30"/>
      <c r="D83" s="28"/>
      <c r="E83" s="28"/>
      <c r="F83" s="28"/>
    </row>
    <row r="84" spans="1:6" x14ac:dyDescent="0.15">
      <c r="A84" s="27">
        <v>73</v>
      </c>
      <c r="B84" s="30"/>
      <c r="C84" s="30"/>
      <c r="D84" s="28"/>
      <c r="E84" s="28"/>
      <c r="F84" s="28"/>
    </row>
    <row r="85" spans="1:6" x14ac:dyDescent="0.15">
      <c r="A85" s="27">
        <v>74</v>
      </c>
      <c r="B85" s="30"/>
      <c r="C85" s="30"/>
      <c r="D85" s="28"/>
      <c r="E85" s="28"/>
      <c r="F85" s="28"/>
    </row>
    <row r="86" spans="1:6" x14ac:dyDescent="0.15">
      <c r="A86" s="27">
        <v>75</v>
      </c>
      <c r="B86" s="1"/>
      <c r="C86" s="1"/>
      <c r="D86" s="29"/>
      <c r="E86" s="29"/>
      <c r="F86" s="29"/>
    </row>
    <row r="87" spans="1:6" x14ac:dyDescent="0.15">
      <c r="A87" s="27">
        <v>76</v>
      </c>
      <c r="B87" s="1"/>
      <c r="C87" s="1"/>
      <c r="D87" s="29"/>
      <c r="E87" s="29"/>
      <c r="F87" s="29"/>
    </row>
    <row r="88" spans="1:6" x14ac:dyDescent="0.15">
      <c r="A88" s="27">
        <v>77</v>
      </c>
      <c r="B88" s="1"/>
      <c r="C88" s="1"/>
      <c r="D88" s="29"/>
      <c r="E88" s="29"/>
      <c r="F88" s="29"/>
    </row>
    <row r="89" spans="1:6" x14ac:dyDescent="0.15">
      <c r="A89" s="27">
        <v>78</v>
      </c>
      <c r="B89" s="30"/>
      <c r="C89" s="30"/>
      <c r="D89" s="28"/>
      <c r="E89" s="28"/>
      <c r="F89" s="28"/>
    </row>
    <row r="90" spans="1:6" x14ac:dyDescent="0.15">
      <c r="A90" s="27">
        <v>79</v>
      </c>
      <c r="B90" s="30"/>
      <c r="C90" s="30"/>
      <c r="D90" s="28"/>
      <c r="E90" s="28"/>
      <c r="F90" s="28"/>
    </row>
    <row r="91" spans="1:6" x14ac:dyDescent="0.15">
      <c r="A91" s="27">
        <v>80</v>
      </c>
      <c r="B91" s="30"/>
      <c r="C91" s="30"/>
      <c r="D91" s="28"/>
      <c r="E91" s="28"/>
      <c r="F91" s="28"/>
    </row>
    <row r="92" spans="1:6" x14ac:dyDescent="0.15">
      <c r="A92" s="27">
        <v>81</v>
      </c>
      <c r="B92" s="30"/>
      <c r="C92" s="30"/>
      <c r="D92" s="28"/>
      <c r="E92" s="28"/>
      <c r="F92" s="28"/>
    </row>
    <row r="93" spans="1:6" x14ac:dyDescent="0.15">
      <c r="A93" s="27">
        <v>82</v>
      </c>
      <c r="B93" s="31"/>
      <c r="C93" s="31"/>
      <c r="D93" s="28"/>
      <c r="E93" s="28"/>
      <c r="F93" s="28"/>
    </row>
    <row r="94" spans="1:6" x14ac:dyDescent="0.15">
      <c r="A94" s="27">
        <v>83</v>
      </c>
      <c r="B94" s="30"/>
      <c r="C94" s="30"/>
      <c r="D94" s="28"/>
      <c r="E94" s="28"/>
      <c r="F94" s="28"/>
    </row>
    <row r="95" spans="1:6" x14ac:dyDescent="0.15">
      <c r="A95" s="27">
        <v>84</v>
      </c>
      <c r="B95" s="30"/>
      <c r="C95" s="30"/>
      <c r="D95" s="28"/>
      <c r="E95" s="28"/>
      <c r="F95" s="28"/>
    </row>
    <row r="96" spans="1:6" x14ac:dyDescent="0.15">
      <c r="A96" s="27">
        <v>85</v>
      </c>
      <c r="B96" s="30"/>
      <c r="C96" s="30"/>
      <c r="D96" s="28"/>
      <c r="E96" s="28"/>
      <c r="F96" s="28"/>
    </row>
    <row r="97" spans="1:6" x14ac:dyDescent="0.15">
      <c r="A97" s="27">
        <v>86</v>
      </c>
      <c r="B97" s="30"/>
      <c r="C97" s="30"/>
      <c r="D97" s="28"/>
      <c r="E97" s="28"/>
      <c r="F97" s="28"/>
    </row>
    <row r="98" spans="1:6" x14ac:dyDescent="0.15">
      <c r="A98" s="27">
        <v>87</v>
      </c>
      <c r="B98" s="1"/>
      <c r="C98" s="1"/>
      <c r="D98" s="29"/>
      <c r="E98" s="29"/>
      <c r="F98" s="29"/>
    </row>
    <row r="99" spans="1:6" x14ac:dyDescent="0.15">
      <c r="A99" s="27">
        <v>88</v>
      </c>
      <c r="B99" s="1"/>
      <c r="C99" s="1"/>
      <c r="D99" s="29"/>
      <c r="E99" s="29"/>
      <c r="F99" s="29"/>
    </row>
    <row r="100" spans="1:6" x14ac:dyDescent="0.15">
      <c r="A100" s="27">
        <v>89</v>
      </c>
      <c r="B100" s="30"/>
      <c r="C100" s="30"/>
      <c r="D100" s="28"/>
      <c r="E100" s="28"/>
      <c r="F100" s="28"/>
    </row>
    <row r="101" spans="1:6" x14ac:dyDescent="0.15">
      <c r="A101" s="27">
        <v>90</v>
      </c>
      <c r="B101" s="1"/>
      <c r="C101" s="1"/>
      <c r="D101" s="28"/>
      <c r="E101" s="28"/>
      <c r="F101" s="28"/>
    </row>
    <row r="102" spans="1:6" x14ac:dyDescent="0.15">
      <c r="A102" s="27">
        <v>91</v>
      </c>
      <c r="B102" s="30"/>
      <c r="C102" s="30"/>
      <c r="D102" s="28"/>
      <c r="E102" s="28"/>
      <c r="F102" s="28"/>
    </row>
    <row r="103" spans="1:6" x14ac:dyDescent="0.15">
      <c r="A103" s="27">
        <v>92</v>
      </c>
      <c r="B103" s="1"/>
      <c r="C103" s="1"/>
      <c r="D103" s="29"/>
      <c r="E103" s="29"/>
      <c r="F103" s="29"/>
    </row>
    <row r="104" spans="1:6" x14ac:dyDescent="0.15">
      <c r="A104" s="27">
        <v>93</v>
      </c>
      <c r="B104" s="30"/>
      <c r="C104" s="30"/>
      <c r="D104" s="28"/>
      <c r="E104" s="28"/>
      <c r="F104" s="28"/>
    </row>
    <row r="105" spans="1:6" x14ac:dyDescent="0.15">
      <c r="A105" s="27">
        <v>94</v>
      </c>
      <c r="B105" s="30"/>
      <c r="C105" s="30"/>
      <c r="D105" s="28"/>
      <c r="E105" s="28"/>
      <c r="F105" s="28"/>
    </row>
    <row r="106" spans="1:6" x14ac:dyDescent="0.15">
      <c r="A106" s="27">
        <v>95</v>
      </c>
      <c r="B106" s="30"/>
      <c r="C106" s="30"/>
      <c r="D106" s="28"/>
      <c r="E106" s="28"/>
      <c r="F106" s="28"/>
    </row>
    <row r="107" spans="1:6" x14ac:dyDescent="0.15">
      <c r="A107" s="27">
        <v>96</v>
      </c>
      <c r="B107" s="30"/>
      <c r="C107" s="30"/>
      <c r="D107" s="28"/>
      <c r="E107" s="28"/>
      <c r="F107" s="28"/>
    </row>
    <row r="108" spans="1:6" x14ac:dyDescent="0.15">
      <c r="A108" s="27">
        <v>97</v>
      </c>
      <c r="B108" s="1"/>
      <c r="C108" s="1"/>
      <c r="D108" s="29"/>
      <c r="E108" s="29"/>
      <c r="F108" s="29"/>
    </row>
    <row r="109" spans="1:6" x14ac:dyDescent="0.15">
      <c r="A109" s="27">
        <v>98</v>
      </c>
      <c r="B109" s="30"/>
      <c r="C109" s="30"/>
      <c r="D109" s="28"/>
      <c r="E109" s="28"/>
      <c r="F109" s="28"/>
    </row>
    <row r="110" spans="1:6" x14ac:dyDescent="0.15">
      <c r="A110" s="27">
        <v>99</v>
      </c>
      <c r="B110" s="30"/>
      <c r="C110" s="1"/>
      <c r="D110" s="28"/>
      <c r="E110" s="28"/>
      <c r="F110" s="28"/>
    </row>
    <row r="111" spans="1:6" x14ac:dyDescent="0.15">
      <c r="A111" s="27">
        <v>100</v>
      </c>
      <c r="B111" s="30"/>
      <c r="C111" s="30"/>
      <c r="D111" s="28"/>
      <c r="E111" s="28"/>
      <c r="F111" s="28"/>
    </row>
    <row r="112" spans="1:6" x14ac:dyDescent="0.15">
      <c r="A112" s="27">
        <v>101</v>
      </c>
      <c r="B112" s="30"/>
      <c r="C112" s="30"/>
      <c r="D112" s="28"/>
      <c r="E112" s="28"/>
      <c r="F112" s="28"/>
    </row>
    <row r="113" spans="1:6" x14ac:dyDescent="0.15">
      <c r="A113" s="27">
        <v>102</v>
      </c>
      <c r="B113" s="1"/>
      <c r="C113" s="1"/>
      <c r="D113" s="29"/>
      <c r="E113" s="29"/>
      <c r="F113" s="29"/>
    </row>
    <row r="114" spans="1:6" x14ac:dyDescent="0.15">
      <c r="A114" s="27">
        <v>103</v>
      </c>
      <c r="B114" s="30"/>
      <c r="C114" s="30"/>
      <c r="D114" s="28"/>
      <c r="E114" s="28"/>
      <c r="F114" s="28"/>
    </row>
    <row r="115" spans="1:6" x14ac:dyDescent="0.15">
      <c r="A115" s="27">
        <v>104</v>
      </c>
      <c r="B115" s="1"/>
      <c r="C115" s="30"/>
      <c r="D115" s="29"/>
      <c r="E115" s="29"/>
      <c r="F115" s="29"/>
    </row>
    <row r="116" spans="1:6" x14ac:dyDescent="0.15">
      <c r="A116" s="27">
        <v>105</v>
      </c>
      <c r="B116" s="30"/>
      <c r="C116" s="30"/>
      <c r="D116" s="28"/>
      <c r="E116" s="28"/>
      <c r="F116" s="28"/>
    </row>
    <row r="117" spans="1:6" x14ac:dyDescent="0.15">
      <c r="A117" s="27">
        <v>106</v>
      </c>
      <c r="B117" s="30"/>
      <c r="C117" s="30"/>
      <c r="D117" s="28"/>
      <c r="E117" s="28"/>
      <c r="F117" s="28"/>
    </row>
    <row r="118" spans="1:6" x14ac:dyDescent="0.15">
      <c r="A118" s="27">
        <v>107</v>
      </c>
      <c r="B118" s="1"/>
      <c r="C118" s="1"/>
      <c r="D118" s="29"/>
      <c r="E118" s="29"/>
      <c r="F118" s="29"/>
    </row>
    <row r="119" spans="1:6" x14ac:dyDescent="0.15">
      <c r="A119" s="27">
        <v>108</v>
      </c>
      <c r="B119" s="1"/>
      <c r="C119" s="1"/>
      <c r="D119" s="29"/>
      <c r="E119" s="29"/>
      <c r="F119" s="29"/>
    </row>
    <row r="120" spans="1:6" x14ac:dyDescent="0.15">
      <c r="A120" s="27">
        <v>109</v>
      </c>
      <c r="B120" s="1"/>
      <c r="C120" s="1"/>
      <c r="D120" s="29"/>
      <c r="E120" s="29"/>
      <c r="F120" s="29"/>
    </row>
    <row r="121" spans="1:6" x14ac:dyDescent="0.15">
      <c r="A121" s="27">
        <v>110</v>
      </c>
      <c r="B121" s="1"/>
      <c r="C121" s="30"/>
      <c r="D121" s="28"/>
      <c r="E121" s="28"/>
      <c r="F121" s="28"/>
    </row>
    <row r="122" spans="1:6" x14ac:dyDescent="0.15">
      <c r="A122" s="27">
        <v>111</v>
      </c>
      <c r="B122" s="30"/>
      <c r="C122" s="1"/>
      <c r="D122" s="29"/>
      <c r="E122" s="29"/>
      <c r="F122" s="29"/>
    </row>
    <row r="123" spans="1:6" x14ac:dyDescent="0.15">
      <c r="A123" s="27">
        <v>112</v>
      </c>
      <c r="B123" s="30"/>
      <c r="C123" s="30"/>
      <c r="D123" s="28"/>
      <c r="E123" s="28"/>
      <c r="F123" s="28"/>
    </row>
    <row r="124" spans="1:6" x14ac:dyDescent="0.15">
      <c r="A124" s="27">
        <v>113</v>
      </c>
      <c r="B124" s="30"/>
      <c r="C124" s="30"/>
      <c r="D124" s="28"/>
      <c r="E124" s="28"/>
      <c r="F124" s="28"/>
    </row>
    <row r="125" spans="1:6" x14ac:dyDescent="0.15">
      <c r="A125" s="27">
        <v>114</v>
      </c>
      <c r="B125" s="30"/>
      <c r="C125" s="30"/>
      <c r="D125" s="28"/>
      <c r="E125" s="28"/>
      <c r="F125" s="28"/>
    </row>
    <row r="126" spans="1:6" x14ac:dyDescent="0.15">
      <c r="A126" s="27">
        <v>115</v>
      </c>
      <c r="B126" s="30"/>
      <c r="C126" s="30"/>
      <c r="D126" s="28"/>
      <c r="E126" s="28"/>
      <c r="F126" s="28"/>
    </row>
    <row r="127" spans="1:6" x14ac:dyDescent="0.15">
      <c r="A127" s="27">
        <v>116</v>
      </c>
      <c r="B127" s="1"/>
      <c r="C127" s="30"/>
      <c r="D127" s="29"/>
      <c r="E127" s="29"/>
      <c r="F127" s="29"/>
    </row>
    <row r="128" spans="1:6" x14ac:dyDescent="0.15">
      <c r="A128" s="27">
        <v>117</v>
      </c>
      <c r="B128" s="30"/>
      <c r="C128" s="1"/>
      <c r="D128" s="28"/>
      <c r="E128" s="28"/>
      <c r="F128" s="28"/>
    </row>
    <row r="129" spans="1:6" x14ac:dyDescent="0.15">
      <c r="A129" s="27">
        <v>118</v>
      </c>
      <c r="B129" s="1"/>
      <c r="C129" s="1"/>
      <c r="D129" s="29"/>
      <c r="E129" s="29"/>
      <c r="F129" s="29"/>
    </row>
    <row r="130" spans="1:6" x14ac:dyDescent="0.15">
      <c r="A130" s="27">
        <v>119</v>
      </c>
      <c r="B130" s="1"/>
      <c r="C130" s="1"/>
      <c r="D130" s="29"/>
      <c r="E130" s="29"/>
      <c r="F130" s="29"/>
    </row>
    <row r="131" spans="1:6" x14ac:dyDescent="0.15">
      <c r="A131" s="27">
        <v>120</v>
      </c>
      <c r="B131" s="1"/>
      <c r="C131" s="1"/>
      <c r="D131" s="29"/>
      <c r="E131" s="29"/>
      <c r="F131" s="29"/>
    </row>
    <row r="132" spans="1:6" x14ac:dyDescent="0.15">
      <c r="A132" s="27">
        <v>121</v>
      </c>
      <c r="B132" s="1"/>
      <c r="C132" s="1"/>
      <c r="D132" s="29"/>
      <c r="E132" s="29"/>
      <c r="F132" s="29"/>
    </row>
    <row r="133" spans="1:6" x14ac:dyDescent="0.15">
      <c r="A133" s="27">
        <v>122</v>
      </c>
      <c r="B133" s="30"/>
      <c r="C133" s="30"/>
      <c r="D133" s="28"/>
      <c r="E133" s="28"/>
      <c r="F133" s="28"/>
    </row>
    <row r="134" spans="1:6" x14ac:dyDescent="0.15">
      <c r="A134" s="27">
        <v>123</v>
      </c>
      <c r="B134" s="30"/>
      <c r="C134" s="30"/>
      <c r="D134" s="28"/>
      <c r="E134" s="28"/>
      <c r="F134" s="28"/>
    </row>
    <row r="135" spans="1:6" x14ac:dyDescent="0.15">
      <c r="A135" s="27">
        <v>124</v>
      </c>
      <c r="B135" s="1"/>
      <c r="C135" s="30"/>
      <c r="D135" s="29"/>
      <c r="E135" s="29"/>
      <c r="F135" s="29"/>
    </row>
    <row r="136" spans="1:6" x14ac:dyDescent="0.15">
      <c r="A136" s="27">
        <v>125</v>
      </c>
      <c r="B136" s="30"/>
      <c r="C136" s="30"/>
      <c r="D136" s="28"/>
      <c r="E136" s="28"/>
      <c r="F136" s="28"/>
    </row>
    <row r="137" spans="1:6" x14ac:dyDescent="0.15">
      <c r="A137" s="27">
        <v>126</v>
      </c>
      <c r="B137" s="30"/>
      <c r="C137" s="30"/>
      <c r="D137" s="28"/>
      <c r="E137" s="28"/>
      <c r="F137" s="28"/>
    </row>
    <row r="138" spans="1:6" x14ac:dyDescent="0.15">
      <c r="A138" s="27">
        <v>127</v>
      </c>
      <c r="B138" s="30"/>
      <c r="C138" s="30"/>
      <c r="D138" s="28"/>
      <c r="E138" s="28"/>
      <c r="F138" s="28"/>
    </row>
    <row r="139" spans="1:6" x14ac:dyDescent="0.15">
      <c r="A139" s="27">
        <v>128</v>
      </c>
      <c r="B139" s="1"/>
      <c r="C139" s="1"/>
      <c r="D139" s="29"/>
      <c r="E139" s="29"/>
      <c r="F139" s="29"/>
    </row>
    <row r="140" spans="1:6" x14ac:dyDescent="0.15">
      <c r="A140" s="27">
        <v>129</v>
      </c>
      <c r="B140" s="1"/>
      <c r="C140" s="1"/>
      <c r="D140" s="29"/>
      <c r="E140" s="29"/>
      <c r="F140" s="29"/>
    </row>
    <row r="141" spans="1:6" x14ac:dyDescent="0.15">
      <c r="A141" s="27">
        <v>130</v>
      </c>
      <c r="B141" s="30"/>
      <c r="C141" s="30"/>
      <c r="D141" s="28"/>
      <c r="E141" s="28"/>
      <c r="F141" s="28"/>
    </row>
    <row r="142" spans="1:6" x14ac:dyDescent="0.15">
      <c r="A142" s="27">
        <v>131</v>
      </c>
      <c r="B142" s="1"/>
      <c r="C142" s="1"/>
      <c r="D142" s="29"/>
      <c r="E142" s="29"/>
      <c r="F142" s="29"/>
    </row>
    <row r="143" spans="1:6" x14ac:dyDescent="0.15">
      <c r="A143" s="27">
        <v>132</v>
      </c>
      <c r="B143" s="30"/>
      <c r="C143" s="30"/>
      <c r="D143" s="28"/>
      <c r="E143" s="28"/>
      <c r="F143" s="28"/>
    </row>
    <row r="144" spans="1:6" x14ac:dyDescent="0.15">
      <c r="A144" s="27">
        <v>133</v>
      </c>
      <c r="B144" s="30"/>
      <c r="C144" s="30"/>
      <c r="D144" s="28"/>
      <c r="E144" s="28"/>
      <c r="F144" s="28"/>
    </row>
    <row r="145" spans="1:6" x14ac:dyDescent="0.15">
      <c r="A145" s="27">
        <v>134</v>
      </c>
      <c r="B145" s="1"/>
      <c r="C145" s="1"/>
      <c r="D145" s="29"/>
      <c r="E145" s="29"/>
      <c r="F145" s="29"/>
    </row>
    <row r="146" spans="1:6" x14ac:dyDescent="0.15">
      <c r="A146" s="27">
        <v>135</v>
      </c>
      <c r="B146" s="1"/>
      <c r="C146" s="1"/>
      <c r="D146" s="29"/>
      <c r="E146" s="29"/>
      <c r="F146" s="29"/>
    </row>
    <row r="147" spans="1:6" x14ac:dyDescent="0.15">
      <c r="A147" s="27">
        <v>136</v>
      </c>
      <c r="B147" s="1"/>
      <c r="C147" s="1"/>
      <c r="D147" s="29"/>
      <c r="E147" s="29"/>
      <c r="F147" s="29"/>
    </row>
    <row r="148" spans="1:6" x14ac:dyDescent="0.15">
      <c r="A148" s="27">
        <v>137</v>
      </c>
      <c r="B148" s="1"/>
      <c r="C148" s="1"/>
      <c r="D148" s="29"/>
      <c r="E148" s="29"/>
      <c r="F148" s="29"/>
    </row>
    <row r="149" spans="1:6" x14ac:dyDescent="0.15">
      <c r="A149" s="27">
        <v>138</v>
      </c>
      <c r="B149" s="1"/>
      <c r="C149" s="1"/>
      <c r="D149" s="29"/>
      <c r="E149" s="29"/>
      <c r="F149" s="29"/>
    </row>
    <row r="150" spans="1:6" x14ac:dyDescent="0.15">
      <c r="A150" s="27">
        <v>139</v>
      </c>
      <c r="B150" s="1"/>
      <c r="C150" s="1"/>
      <c r="D150" s="29"/>
      <c r="E150" s="29"/>
      <c r="F150" s="29"/>
    </row>
    <row r="151" spans="1:6" x14ac:dyDescent="0.15">
      <c r="A151" s="27">
        <v>140</v>
      </c>
      <c r="B151" s="32"/>
      <c r="C151" s="32"/>
      <c r="D151" s="33"/>
      <c r="E151" s="33"/>
      <c r="F151" s="33"/>
    </row>
    <row r="152" spans="1:6" x14ac:dyDescent="0.15">
      <c r="A152" s="27">
        <v>141</v>
      </c>
      <c r="B152" s="30"/>
      <c r="C152" s="30"/>
      <c r="D152" s="28"/>
      <c r="E152" s="28"/>
      <c r="F152" s="28"/>
    </row>
    <row r="153" spans="1:6" x14ac:dyDescent="0.15">
      <c r="A153" s="27">
        <v>142</v>
      </c>
      <c r="B153" s="30"/>
      <c r="C153" s="30"/>
      <c r="D153" s="28"/>
      <c r="E153" s="28"/>
      <c r="F153" s="28"/>
    </row>
    <row r="154" spans="1:6" x14ac:dyDescent="0.15">
      <c r="A154" s="27">
        <v>143</v>
      </c>
      <c r="B154" s="30"/>
      <c r="C154" s="30"/>
      <c r="D154" s="28"/>
      <c r="E154" s="28"/>
      <c r="F154" s="28"/>
    </row>
    <row r="155" spans="1:6" x14ac:dyDescent="0.15">
      <c r="A155" s="27">
        <v>144</v>
      </c>
      <c r="B155" s="30"/>
      <c r="C155" s="30"/>
      <c r="D155" s="28"/>
      <c r="E155" s="28"/>
      <c r="F155" s="28"/>
    </row>
    <row r="156" spans="1:6" x14ac:dyDescent="0.15">
      <c r="A156" s="27">
        <v>145</v>
      </c>
      <c r="B156" s="30"/>
      <c r="C156" s="30"/>
      <c r="D156" s="28"/>
      <c r="E156" s="28"/>
      <c r="F156" s="28"/>
    </row>
    <row r="157" spans="1:6" x14ac:dyDescent="0.15">
      <c r="A157" s="27">
        <v>146</v>
      </c>
      <c r="B157" s="1"/>
      <c r="C157" s="1"/>
      <c r="D157" s="29"/>
      <c r="E157" s="29"/>
      <c r="F157" s="29"/>
    </row>
    <row r="158" spans="1:6" x14ac:dyDescent="0.15">
      <c r="A158" s="27">
        <v>147</v>
      </c>
      <c r="B158" s="1"/>
      <c r="C158" s="1"/>
      <c r="D158" s="29"/>
      <c r="E158" s="29"/>
      <c r="F158" s="29"/>
    </row>
    <row r="159" spans="1:6" x14ac:dyDescent="0.15">
      <c r="A159" s="27">
        <v>148</v>
      </c>
      <c r="B159" s="30"/>
      <c r="C159" s="30"/>
      <c r="D159" s="28"/>
      <c r="E159" s="28"/>
      <c r="F159" s="28"/>
    </row>
    <row r="160" spans="1:6" x14ac:dyDescent="0.15">
      <c r="A160" s="27">
        <v>149</v>
      </c>
      <c r="B160" s="30"/>
      <c r="C160" s="30"/>
      <c r="D160" s="28"/>
      <c r="E160" s="28"/>
      <c r="F160" s="28"/>
    </row>
    <row r="161" spans="1:6" x14ac:dyDescent="0.15">
      <c r="A161" s="27">
        <v>150</v>
      </c>
      <c r="B161" s="1"/>
      <c r="C161" s="1"/>
      <c r="D161" s="29"/>
      <c r="E161" s="29"/>
      <c r="F161" s="29"/>
    </row>
    <row r="162" spans="1:6" x14ac:dyDescent="0.15">
      <c r="A162" s="27">
        <v>151</v>
      </c>
      <c r="B162" s="1"/>
      <c r="C162" s="1"/>
      <c r="D162" s="29"/>
      <c r="E162" s="29"/>
      <c r="F162" s="29"/>
    </row>
    <row r="163" spans="1:6" x14ac:dyDescent="0.15">
      <c r="A163" s="27">
        <v>152</v>
      </c>
      <c r="B163" s="1"/>
      <c r="C163" s="30"/>
      <c r="D163" s="28"/>
      <c r="E163" s="28"/>
      <c r="F163" s="28"/>
    </row>
    <row r="164" spans="1:6" x14ac:dyDescent="0.15">
      <c r="A164" s="27">
        <v>153</v>
      </c>
      <c r="B164" s="1"/>
      <c r="C164" s="1"/>
      <c r="D164" s="29"/>
      <c r="E164" s="29"/>
      <c r="F164" s="29"/>
    </row>
    <row r="165" spans="1:6" x14ac:dyDescent="0.15">
      <c r="A165" s="27">
        <v>154</v>
      </c>
      <c r="B165" s="1"/>
      <c r="C165" s="1"/>
      <c r="D165" s="29"/>
      <c r="E165" s="29"/>
      <c r="F165" s="29"/>
    </row>
    <row r="166" spans="1:6" x14ac:dyDescent="0.15">
      <c r="A166" s="27">
        <v>155</v>
      </c>
      <c r="B166" s="30"/>
      <c r="C166" s="30"/>
      <c r="D166" s="28"/>
      <c r="E166" s="28"/>
      <c r="F166" s="28"/>
    </row>
    <row r="167" spans="1:6" x14ac:dyDescent="0.15">
      <c r="A167" s="27">
        <v>156</v>
      </c>
      <c r="B167" s="30"/>
      <c r="C167" s="30"/>
      <c r="D167" s="28"/>
      <c r="E167" s="28"/>
      <c r="F167" s="28"/>
    </row>
    <row r="168" spans="1:6" x14ac:dyDescent="0.15">
      <c r="A168" s="27">
        <v>157</v>
      </c>
      <c r="B168" s="30"/>
      <c r="C168" s="30"/>
      <c r="D168" s="28"/>
      <c r="E168" s="28"/>
      <c r="F168" s="28"/>
    </row>
    <row r="169" spans="1:6" x14ac:dyDescent="0.15">
      <c r="A169" s="27">
        <v>158</v>
      </c>
      <c r="B169" s="30"/>
      <c r="C169" s="30"/>
      <c r="D169" s="28"/>
      <c r="E169" s="28"/>
      <c r="F169" s="28"/>
    </row>
    <row r="170" spans="1:6" x14ac:dyDescent="0.15">
      <c r="A170" s="27">
        <v>159</v>
      </c>
      <c r="B170" s="30"/>
      <c r="C170" s="30"/>
      <c r="D170" s="28"/>
      <c r="E170" s="28"/>
      <c r="F170" s="28"/>
    </row>
    <row r="171" spans="1:6" x14ac:dyDescent="0.15">
      <c r="A171" s="27">
        <v>160</v>
      </c>
      <c r="B171" s="30"/>
      <c r="C171" s="30"/>
      <c r="D171" s="28"/>
      <c r="E171" s="28"/>
      <c r="F171" s="28"/>
    </row>
    <row r="172" spans="1:6" x14ac:dyDescent="0.15">
      <c r="A172" s="27">
        <v>161</v>
      </c>
      <c r="B172" s="30"/>
      <c r="C172" s="1"/>
      <c r="D172" s="28"/>
      <c r="E172" s="28"/>
      <c r="F172" s="28"/>
    </row>
    <row r="173" spans="1:6" x14ac:dyDescent="0.15">
      <c r="A173" s="27">
        <v>162</v>
      </c>
      <c r="B173" s="1"/>
      <c r="C173" s="1"/>
      <c r="D173" s="29"/>
      <c r="E173" s="29"/>
      <c r="F173" s="29"/>
    </row>
    <row r="174" spans="1:6" x14ac:dyDescent="0.15">
      <c r="A174" s="27">
        <v>163</v>
      </c>
      <c r="B174" s="1"/>
      <c r="C174" s="1"/>
      <c r="D174" s="29"/>
      <c r="E174" s="29"/>
      <c r="F174" s="29"/>
    </row>
    <row r="175" spans="1:6" x14ac:dyDescent="0.15">
      <c r="A175" s="27">
        <v>164</v>
      </c>
      <c r="B175" s="1"/>
      <c r="C175" s="1"/>
      <c r="D175" s="29"/>
      <c r="E175" s="29"/>
      <c r="F175" s="29"/>
    </row>
    <row r="176" spans="1:6" x14ac:dyDescent="0.15">
      <c r="A176" s="27">
        <v>165</v>
      </c>
      <c r="B176" s="1"/>
      <c r="C176" s="1"/>
      <c r="D176" s="29"/>
      <c r="E176" s="29"/>
      <c r="F176" s="29"/>
    </row>
    <row r="177" spans="1:6" x14ac:dyDescent="0.15">
      <c r="A177" s="27">
        <v>166</v>
      </c>
      <c r="B177" s="30"/>
      <c r="C177" s="30"/>
      <c r="D177" s="28"/>
      <c r="E177" s="28"/>
      <c r="F177" s="28"/>
    </row>
    <row r="178" spans="1:6" x14ac:dyDescent="0.15">
      <c r="A178" s="27">
        <v>167</v>
      </c>
      <c r="B178" s="1"/>
      <c r="C178" s="1"/>
      <c r="D178" s="29"/>
      <c r="E178" s="29"/>
      <c r="F178" s="29"/>
    </row>
    <row r="179" spans="1:6" x14ac:dyDescent="0.15">
      <c r="A179" s="27">
        <v>168</v>
      </c>
      <c r="B179" s="30"/>
      <c r="C179" s="30"/>
      <c r="D179" s="28"/>
      <c r="E179" s="28"/>
      <c r="F179" s="28"/>
    </row>
    <row r="180" spans="1:6" x14ac:dyDescent="0.15">
      <c r="A180" s="27">
        <v>169</v>
      </c>
      <c r="B180" s="1"/>
      <c r="C180" s="1"/>
      <c r="D180" s="29"/>
      <c r="E180" s="29"/>
      <c r="F180" s="29"/>
    </row>
    <row r="181" spans="1:6" x14ac:dyDescent="0.15">
      <c r="A181" s="27">
        <v>170</v>
      </c>
      <c r="B181" s="30"/>
      <c r="C181" s="30"/>
      <c r="D181" s="28"/>
      <c r="E181" s="28"/>
      <c r="F181" s="28"/>
    </row>
    <row r="182" spans="1:6" x14ac:dyDescent="0.15">
      <c r="A182" s="27">
        <v>171</v>
      </c>
      <c r="B182" s="1"/>
      <c r="C182" s="1"/>
      <c r="D182" s="29"/>
      <c r="E182" s="29"/>
      <c r="F182" s="29"/>
    </row>
    <row r="183" spans="1:6" x14ac:dyDescent="0.15">
      <c r="A183" s="27">
        <v>172</v>
      </c>
      <c r="B183" s="30"/>
      <c r="C183" s="30"/>
      <c r="D183" s="28"/>
      <c r="E183" s="28"/>
      <c r="F183" s="28"/>
    </row>
    <row r="184" spans="1:6" x14ac:dyDescent="0.15">
      <c r="A184" s="27">
        <v>173</v>
      </c>
      <c r="B184" s="1"/>
      <c r="C184" s="1"/>
      <c r="D184" s="29"/>
      <c r="E184" s="29"/>
      <c r="F184" s="29"/>
    </row>
    <row r="185" spans="1:6" x14ac:dyDescent="0.15">
      <c r="A185" s="27">
        <v>174</v>
      </c>
      <c r="B185" s="1"/>
      <c r="C185" s="1"/>
      <c r="D185" s="29"/>
      <c r="E185" s="29"/>
      <c r="F185" s="29"/>
    </row>
    <row r="186" spans="1:6" x14ac:dyDescent="0.15">
      <c r="A186" s="27">
        <v>175</v>
      </c>
      <c r="B186" s="1"/>
      <c r="C186" s="1"/>
      <c r="D186" s="29"/>
      <c r="E186" s="29"/>
      <c r="F186" s="29"/>
    </row>
    <row r="187" spans="1:6" x14ac:dyDescent="0.15">
      <c r="A187" s="27">
        <v>176</v>
      </c>
      <c r="B187" s="30"/>
      <c r="C187" s="30"/>
      <c r="D187" s="28"/>
      <c r="E187" s="28"/>
      <c r="F187" s="28"/>
    </row>
    <row r="188" spans="1:6" x14ac:dyDescent="0.15">
      <c r="A188" s="27">
        <v>177</v>
      </c>
      <c r="B188" s="30"/>
      <c r="C188" s="30"/>
      <c r="D188" s="28"/>
      <c r="E188" s="28"/>
      <c r="F188" s="28"/>
    </row>
    <row r="189" spans="1:6" x14ac:dyDescent="0.15">
      <c r="A189" s="27">
        <v>178</v>
      </c>
      <c r="B189" s="1"/>
      <c r="C189" s="1"/>
      <c r="D189" s="29"/>
      <c r="E189" s="29"/>
      <c r="F189" s="29"/>
    </row>
    <row r="190" spans="1:6" x14ac:dyDescent="0.15">
      <c r="A190" s="27">
        <v>179</v>
      </c>
      <c r="B190" s="1"/>
      <c r="C190" s="1"/>
      <c r="D190" s="29"/>
      <c r="E190" s="29"/>
      <c r="F190" s="29"/>
    </row>
    <row r="191" spans="1:6" x14ac:dyDescent="0.15">
      <c r="A191" s="27">
        <v>180</v>
      </c>
      <c r="B191" s="1"/>
      <c r="C191" s="1"/>
      <c r="D191" s="29"/>
      <c r="E191" s="29"/>
      <c r="F191" s="29"/>
    </row>
    <row r="192" spans="1:6" x14ac:dyDescent="0.15">
      <c r="A192" s="27">
        <v>181</v>
      </c>
      <c r="B192" s="1"/>
      <c r="C192" s="1"/>
      <c r="D192" s="29"/>
      <c r="E192" s="29"/>
      <c r="F192" s="29"/>
    </row>
    <row r="193" spans="1:6" x14ac:dyDescent="0.15">
      <c r="A193" s="27">
        <v>182</v>
      </c>
      <c r="B193" s="1"/>
      <c r="C193" s="1"/>
      <c r="D193" s="29"/>
      <c r="E193" s="29"/>
      <c r="F193" s="29"/>
    </row>
    <row r="194" spans="1:6" x14ac:dyDescent="0.15">
      <c r="A194" s="27">
        <v>183</v>
      </c>
      <c r="B194" s="1"/>
      <c r="C194" s="1"/>
      <c r="D194" s="29"/>
      <c r="E194" s="29"/>
      <c r="F194" s="29"/>
    </row>
    <row r="195" spans="1:6" x14ac:dyDescent="0.15">
      <c r="A195" s="27">
        <v>184</v>
      </c>
      <c r="B195" s="1"/>
      <c r="C195" s="1"/>
      <c r="D195" s="29"/>
      <c r="E195" s="29"/>
      <c r="F195" s="29"/>
    </row>
    <row r="196" spans="1:6" x14ac:dyDescent="0.15">
      <c r="A196" s="27">
        <v>185</v>
      </c>
      <c r="B196" s="30"/>
      <c r="C196" s="30"/>
      <c r="D196" s="28"/>
      <c r="E196" s="28"/>
      <c r="F196" s="28"/>
    </row>
    <row r="197" spans="1:6" x14ac:dyDescent="0.15">
      <c r="A197" s="27">
        <v>186</v>
      </c>
      <c r="B197" s="1"/>
      <c r="C197" s="1"/>
      <c r="D197" s="29"/>
      <c r="E197" s="29"/>
      <c r="F197" s="29"/>
    </row>
    <row r="198" spans="1:6" x14ac:dyDescent="0.15">
      <c r="A198" s="27">
        <v>187</v>
      </c>
      <c r="B198" s="30"/>
      <c r="C198" s="30"/>
      <c r="D198" s="28"/>
      <c r="E198" s="28"/>
      <c r="F198" s="28"/>
    </row>
    <row r="199" spans="1:6" x14ac:dyDescent="0.15">
      <c r="A199" s="27">
        <v>188</v>
      </c>
      <c r="B199" s="30"/>
      <c r="C199" s="1"/>
      <c r="D199" s="28"/>
      <c r="E199" s="28"/>
      <c r="F199" s="28"/>
    </row>
    <row r="200" spans="1:6" x14ac:dyDescent="0.15">
      <c r="A200" s="27">
        <v>189</v>
      </c>
      <c r="B200" s="30"/>
      <c r="C200" s="30"/>
      <c r="D200" s="28"/>
      <c r="E200" s="28"/>
      <c r="F200" s="28"/>
    </row>
    <row r="201" spans="1:6" x14ac:dyDescent="0.15">
      <c r="A201" s="27">
        <v>190</v>
      </c>
      <c r="B201" s="30"/>
      <c r="C201" s="1"/>
      <c r="D201" s="28"/>
      <c r="E201" s="28"/>
      <c r="F201" s="28"/>
    </row>
    <row r="202" spans="1:6" x14ac:dyDescent="0.15">
      <c r="A202" s="27">
        <v>191</v>
      </c>
      <c r="B202" s="30"/>
      <c r="C202" s="30"/>
      <c r="D202" s="28"/>
      <c r="E202" s="28"/>
      <c r="F202" s="28"/>
    </row>
    <row r="203" spans="1:6" x14ac:dyDescent="0.15">
      <c r="A203" s="27">
        <v>192</v>
      </c>
      <c r="B203" s="30"/>
      <c r="C203" s="30"/>
      <c r="D203" s="28"/>
      <c r="E203" s="28"/>
      <c r="F203" s="28"/>
    </row>
    <row r="204" spans="1:6" x14ac:dyDescent="0.15">
      <c r="A204" s="27">
        <v>193</v>
      </c>
      <c r="B204" s="30"/>
      <c r="C204" s="30"/>
      <c r="D204" s="28"/>
      <c r="E204" s="28"/>
      <c r="F204" s="28"/>
    </row>
    <row r="205" spans="1:6" x14ac:dyDescent="0.15">
      <c r="A205" s="27">
        <v>194</v>
      </c>
      <c r="B205" s="30"/>
      <c r="C205" s="30"/>
      <c r="D205" s="28"/>
      <c r="E205" s="28"/>
      <c r="F205" s="28"/>
    </row>
    <row r="206" spans="1:6" x14ac:dyDescent="0.15">
      <c r="A206" s="27">
        <v>195</v>
      </c>
      <c r="B206" s="30"/>
      <c r="C206" s="30"/>
      <c r="D206" s="28"/>
      <c r="E206" s="28"/>
      <c r="F206" s="28"/>
    </row>
    <row r="207" spans="1:6" x14ac:dyDescent="0.15">
      <c r="A207" s="27">
        <v>196</v>
      </c>
      <c r="B207" s="30"/>
      <c r="C207" s="30"/>
      <c r="D207" s="28"/>
      <c r="E207" s="28"/>
      <c r="F207" s="28"/>
    </row>
    <row r="208" spans="1:6" x14ac:dyDescent="0.15">
      <c r="A208" s="27">
        <v>197</v>
      </c>
      <c r="B208" s="30"/>
      <c r="C208" s="30"/>
      <c r="D208" s="28"/>
      <c r="E208" s="28"/>
      <c r="F208" s="28"/>
    </row>
    <row r="209" spans="1:6" x14ac:dyDescent="0.15">
      <c r="A209" s="27">
        <v>198</v>
      </c>
      <c r="B209" s="30"/>
      <c r="C209" s="30"/>
      <c r="D209" s="28"/>
      <c r="E209" s="28"/>
      <c r="F209" s="28"/>
    </row>
    <row r="210" spans="1:6" x14ac:dyDescent="0.15">
      <c r="A210" s="27">
        <v>199</v>
      </c>
      <c r="B210" s="30"/>
      <c r="C210" s="1"/>
      <c r="D210" s="29"/>
      <c r="E210" s="29"/>
      <c r="F210" s="29"/>
    </row>
    <row r="211" spans="1:6" x14ac:dyDescent="0.15">
      <c r="A211" s="27">
        <v>200</v>
      </c>
      <c r="B211" s="30"/>
      <c r="C211" s="1"/>
      <c r="D211" s="29"/>
      <c r="E211" s="29"/>
      <c r="F211" s="29"/>
    </row>
  </sheetData>
  <sheetProtection autoFilter="0"/>
  <autoFilter ref="A11:C11" xr:uid="{00000000-0009-0000-0000-000000000000}">
    <sortState xmlns:xlrd2="http://schemas.microsoft.com/office/spreadsheetml/2017/richdata2" ref="A12:C216">
      <sortCondition ref="B11"/>
    </sortState>
  </autoFilter>
  <sortState xmlns:xlrd2="http://schemas.microsoft.com/office/spreadsheetml/2017/richdata2" ref="B12:C187">
    <sortCondition ref="B11"/>
  </sortState>
  <phoneticPr fontId="1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1"/>
  <sheetViews>
    <sheetView zoomScale="70" zoomScaleNormal="70" workbookViewId="0">
      <selection activeCell="Q25" sqref="Q25"/>
    </sheetView>
  </sheetViews>
  <sheetFormatPr defaultRowHeight="13.5" x14ac:dyDescent="0.15"/>
  <cols>
    <col min="1" max="2" width="1.875" style="5" customWidth="1"/>
    <col min="3" max="3" width="11.25" style="5" customWidth="1"/>
    <col min="4" max="4" width="30" style="5" customWidth="1"/>
    <col min="5" max="6" width="1.875" style="5" customWidth="1"/>
    <col min="7" max="7" width="36.25" style="5" customWidth="1"/>
    <col min="8" max="8" width="1.875" style="5" customWidth="1"/>
    <col min="9" max="16384" width="9" style="5"/>
  </cols>
  <sheetData>
    <row r="1" spans="1:10" customFormat="1" ht="30" customHeight="1" thickBot="1" x14ac:dyDescent="0.2">
      <c r="A1" s="59" t="s">
        <v>15</v>
      </c>
      <c r="B1" s="59"/>
      <c r="C1" s="59"/>
      <c r="D1" s="59"/>
      <c r="E1" s="59"/>
      <c r="F1" s="59"/>
      <c r="G1" s="59"/>
      <c r="H1" s="59"/>
      <c r="I1" s="13"/>
      <c r="J1" s="13"/>
    </row>
    <row r="2" spans="1:10" customFormat="1" ht="7.5" customHeight="1" thickTop="1" x14ac:dyDescent="0.15">
      <c r="A2" s="14"/>
      <c r="B2" s="14"/>
      <c r="C2" s="14"/>
      <c r="D2" s="14"/>
      <c r="E2" s="14"/>
      <c r="F2" s="14"/>
      <c r="G2" s="14"/>
      <c r="H2" s="14"/>
      <c r="I2" s="13"/>
      <c r="J2" s="13"/>
    </row>
    <row r="3" spans="1:10" customFormat="1" ht="15.75" customHeight="1" x14ac:dyDescent="0.15">
      <c r="A3" s="15"/>
      <c r="B3" s="15"/>
      <c r="C3" s="15"/>
      <c r="D3" s="15"/>
      <c r="E3" s="15"/>
      <c r="F3" s="15"/>
      <c r="G3" s="60">
        <f ca="1">TODAY()</f>
        <v>46136</v>
      </c>
      <c r="H3" s="60"/>
      <c r="I3" s="13"/>
      <c r="J3" s="13"/>
    </row>
    <row r="4" spans="1:10" customFormat="1" ht="15" customHeight="1" x14ac:dyDescent="0.15">
      <c r="A4" s="13"/>
      <c r="B4" s="13"/>
      <c r="C4" s="13"/>
      <c r="D4" s="13"/>
      <c r="E4" s="13"/>
      <c r="F4" s="13"/>
      <c r="G4" s="13"/>
      <c r="H4" s="13"/>
      <c r="I4" s="13"/>
      <c r="J4" s="13"/>
    </row>
    <row r="5" spans="1:10" customFormat="1" ht="30" customHeight="1" x14ac:dyDescent="0.2">
      <c r="C5" s="62" t="str">
        <f>IF(入力!D12=0,"",入力!D12)</f>
        <v>浜松磐田信用金庫　ゆめおいプラザ</v>
      </c>
      <c r="D5" s="62"/>
      <c r="E5" s="16"/>
      <c r="F5" s="13"/>
      <c r="G5" s="17"/>
      <c r="I5" s="13"/>
      <c r="J5" s="13"/>
    </row>
    <row r="6" spans="1:10" customFormat="1" ht="30" customHeight="1" x14ac:dyDescent="0.2">
      <c r="C6" s="63" t="str">
        <f>IF(入力!E12=0,"",入力!E12)</f>
        <v>岡田様</v>
      </c>
      <c r="D6" s="63"/>
      <c r="E6" s="16"/>
      <c r="F6" s="13"/>
      <c r="I6" s="13"/>
      <c r="J6" s="13"/>
    </row>
    <row r="7" spans="1:10" customFormat="1" ht="30" customHeight="1" x14ac:dyDescent="0.2">
      <c r="C7" s="61" t="str">
        <f>IF(入力!B4="","件名：","件名："&amp;入力!B4)</f>
        <v>件名：建物表題登記申請のご報告</v>
      </c>
      <c r="D7" s="61"/>
      <c r="E7" s="16"/>
      <c r="F7" s="13"/>
      <c r="G7" s="42" t="s">
        <v>49</v>
      </c>
      <c r="I7" s="13"/>
      <c r="J7" s="13"/>
    </row>
    <row r="8" spans="1:10" customFormat="1" ht="15.75" customHeight="1" x14ac:dyDescent="0.15">
      <c r="C8" s="18" t="s">
        <v>3</v>
      </c>
      <c r="D8" s="19" t="str">
        <f>DBCS(入力!B5)</f>
        <v>３</v>
      </c>
      <c r="E8" s="20"/>
      <c r="F8" s="13"/>
      <c r="G8" s="21" t="s">
        <v>47</v>
      </c>
      <c r="I8" s="13"/>
      <c r="J8" s="13"/>
    </row>
    <row r="9" spans="1:10" customFormat="1" ht="15.75" customHeight="1" x14ac:dyDescent="0.15">
      <c r="C9" s="18" t="s">
        <v>4</v>
      </c>
      <c r="D9" s="22" t="str">
        <f>入力!B6</f>
        <v>053-451-2560</v>
      </c>
      <c r="F9" s="13"/>
      <c r="G9" s="23" t="str">
        <f>"担当者： "&amp;入力!B7&amp;"　"&amp;入力!B8</f>
        <v>担当者： 　山　本　真　基</v>
      </c>
      <c r="I9" s="13"/>
    </row>
    <row r="10" spans="1:10" customFormat="1" ht="15.75" customHeight="1" x14ac:dyDescent="0.15">
      <c r="C10" s="18"/>
      <c r="D10" s="22"/>
      <c r="F10" s="13"/>
      <c r="G10" s="21"/>
      <c r="I10" s="13"/>
    </row>
    <row r="11" spans="1:10" customFormat="1" ht="15.75" customHeight="1" thickBot="1" x14ac:dyDescent="0.2">
      <c r="A11" s="25"/>
      <c r="B11" s="26"/>
      <c r="C11" s="26"/>
      <c r="D11" s="26"/>
      <c r="E11" s="26"/>
      <c r="F11" s="26"/>
      <c r="G11" s="26"/>
      <c r="H11" s="25"/>
    </row>
    <row r="12" spans="1:10" ht="26.25" customHeight="1" x14ac:dyDescent="0.15">
      <c r="A12" s="6"/>
      <c r="B12" s="57" t="s">
        <v>36</v>
      </c>
      <c r="C12" s="57"/>
      <c r="D12" s="57"/>
      <c r="E12" s="57"/>
      <c r="F12" s="57"/>
      <c r="G12" s="57"/>
      <c r="H12" s="6"/>
    </row>
    <row r="13" spans="1:10" ht="26.25" customHeight="1" x14ac:dyDescent="0.15">
      <c r="A13" s="7"/>
      <c r="B13" s="56" t="s">
        <v>37</v>
      </c>
      <c r="C13" s="56"/>
      <c r="D13" s="56"/>
      <c r="E13" s="56"/>
      <c r="F13" s="56"/>
      <c r="G13" s="56"/>
      <c r="H13" s="7"/>
    </row>
    <row r="14" spans="1:10" ht="26.25" customHeight="1" x14ac:dyDescent="0.15">
      <c r="A14" s="7"/>
      <c r="B14" s="58" t="s">
        <v>16</v>
      </c>
      <c r="C14" s="58"/>
      <c r="D14" s="58"/>
      <c r="E14" s="58"/>
      <c r="F14" s="58"/>
      <c r="G14" s="58"/>
      <c r="H14" s="7"/>
    </row>
    <row r="15" spans="1:10" ht="26.25" customHeight="1" x14ac:dyDescent="0.15">
      <c r="A15" s="7"/>
      <c r="B15" s="67" t="str">
        <f>IF(入力!B12="","所　在：","所　在："&amp;入力!B12)</f>
        <v>所　在：0</v>
      </c>
      <c r="C15" s="64"/>
      <c r="D15" s="64"/>
      <c r="E15" s="64"/>
      <c r="F15" s="64"/>
      <c r="G15" s="64"/>
      <c r="H15" s="7"/>
    </row>
    <row r="16" spans="1:10" ht="26.25" customHeight="1" x14ac:dyDescent="0.15">
      <c r="A16" s="7"/>
      <c r="B16" s="68" t="str">
        <f>IF(入力!C12="","申請人：","申請人："&amp;入力!C12)</f>
        <v>申請人：0</v>
      </c>
      <c r="C16" s="68"/>
      <c r="D16" s="68"/>
      <c r="E16" s="68"/>
      <c r="F16" s="68"/>
      <c r="G16" s="68"/>
      <c r="H16" s="7"/>
    </row>
    <row r="17" spans="1:8" ht="26.25" customHeight="1" x14ac:dyDescent="0.15">
      <c r="A17" s="7"/>
      <c r="B17" s="69"/>
      <c r="C17" s="69"/>
      <c r="D17" s="69"/>
      <c r="E17" s="69"/>
      <c r="F17" s="69"/>
      <c r="G17" s="69"/>
      <c r="H17" s="7"/>
    </row>
    <row r="18" spans="1:8" ht="26.25" customHeight="1" x14ac:dyDescent="0.15">
      <c r="A18" s="7"/>
      <c r="B18" s="56" t="s">
        <v>39</v>
      </c>
      <c r="C18" s="56"/>
      <c r="D18" s="56"/>
      <c r="E18" s="56"/>
      <c r="F18" s="56"/>
      <c r="G18" s="56"/>
      <c r="H18" s="7"/>
    </row>
    <row r="19" spans="1:8" ht="26.25" customHeight="1" x14ac:dyDescent="0.15">
      <c r="A19" s="7"/>
      <c r="B19" s="56" t="s">
        <v>38</v>
      </c>
      <c r="C19" s="56"/>
      <c r="D19" s="56"/>
      <c r="E19" s="56"/>
      <c r="F19" s="56"/>
      <c r="G19" s="56"/>
      <c r="H19" s="7"/>
    </row>
    <row r="20" spans="1:8" ht="26.25" customHeight="1" x14ac:dyDescent="0.15">
      <c r="A20" s="7"/>
      <c r="B20" s="56"/>
      <c r="C20" s="56"/>
      <c r="D20" s="56"/>
      <c r="E20" s="56"/>
      <c r="F20" s="56"/>
      <c r="G20" s="56"/>
      <c r="H20" s="7"/>
    </row>
    <row r="21" spans="1:8" ht="26.25" customHeight="1" x14ac:dyDescent="0.15">
      <c r="A21" s="7"/>
      <c r="B21" s="65"/>
      <c r="C21" s="56"/>
      <c r="D21" s="56"/>
      <c r="E21" s="56"/>
      <c r="F21" s="56"/>
      <c r="G21" s="56"/>
      <c r="H21" s="7"/>
    </row>
    <row r="22" spans="1:8" ht="26.25" customHeight="1" x14ac:dyDescent="0.15">
      <c r="A22" s="7"/>
      <c r="B22" s="65"/>
      <c r="C22" s="56"/>
      <c r="D22" s="56"/>
      <c r="E22" s="56"/>
      <c r="F22" s="56"/>
      <c r="G22" s="56"/>
      <c r="H22" s="7"/>
    </row>
    <row r="23" spans="1:8" ht="26.25" customHeight="1" x14ac:dyDescent="0.15">
      <c r="A23" s="7"/>
      <c r="B23" s="64"/>
      <c r="C23" s="64"/>
      <c r="D23" s="64"/>
      <c r="E23" s="64"/>
      <c r="F23" s="64"/>
      <c r="G23" s="64"/>
      <c r="H23" s="7"/>
    </row>
    <row r="24" spans="1:8" ht="26.25" customHeight="1" x14ac:dyDescent="0.15">
      <c r="A24" s="7"/>
      <c r="B24" s="56"/>
      <c r="C24" s="56"/>
      <c r="D24" s="56"/>
      <c r="E24" s="56"/>
      <c r="F24" s="56"/>
      <c r="G24" s="56"/>
      <c r="H24" s="7"/>
    </row>
    <row r="25" spans="1:8" ht="26.25" customHeight="1" x14ac:dyDescent="0.15">
      <c r="A25" s="7"/>
      <c r="B25" s="56"/>
      <c r="C25" s="56"/>
      <c r="D25" s="56"/>
      <c r="E25" s="56"/>
      <c r="F25" s="56"/>
      <c r="G25" s="56"/>
      <c r="H25" s="7"/>
    </row>
    <row r="26" spans="1:8" ht="26.25" customHeight="1" x14ac:dyDescent="0.15">
      <c r="A26" s="7"/>
      <c r="B26" s="65"/>
      <c r="C26" s="65"/>
      <c r="D26" s="65"/>
      <c r="E26" s="65"/>
      <c r="F26" s="65"/>
      <c r="G26" s="65"/>
      <c r="H26" s="7"/>
    </row>
    <row r="27" spans="1:8" ht="26.25" customHeight="1" x14ac:dyDescent="0.15">
      <c r="A27" s="7"/>
      <c r="B27" s="65"/>
      <c r="C27" s="56"/>
      <c r="D27" s="56"/>
      <c r="E27" s="56"/>
      <c r="F27" s="56"/>
      <c r="G27" s="56"/>
      <c r="H27" s="7"/>
    </row>
    <row r="28" spans="1:8" ht="26.25" customHeight="1" x14ac:dyDescent="0.15">
      <c r="A28" s="7"/>
      <c r="B28" s="65"/>
      <c r="C28" s="56"/>
      <c r="D28" s="56"/>
      <c r="E28" s="56"/>
      <c r="F28" s="56"/>
      <c r="G28" s="56"/>
      <c r="H28" s="7"/>
    </row>
    <row r="29" spans="1:8" ht="26.25" customHeight="1" x14ac:dyDescent="0.15">
      <c r="A29" s="7"/>
      <c r="B29" s="56"/>
      <c r="C29" s="56"/>
      <c r="D29" s="56"/>
      <c r="E29" s="56"/>
      <c r="F29" s="56"/>
      <c r="G29" s="56"/>
      <c r="H29" s="7"/>
    </row>
    <row r="30" spans="1:8" ht="26.25" customHeight="1" thickBot="1" x14ac:dyDescent="0.2">
      <c r="A30" s="8"/>
      <c r="B30" s="66"/>
      <c r="C30" s="66"/>
      <c r="D30" s="66"/>
      <c r="E30" s="66"/>
      <c r="F30" s="66"/>
      <c r="G30" s="66"/>
      <c r="H30" s="8"/>
    </row>
    <row r="31" spans="1:8" ht="14.25" thickTop="1" x14ac:dyDescent="0.15"/>
  </sheetData>
  <mergeCells count="24">
    <mergeCell ref="B15:G15"/>
    <mergeCell ref="B18:G18"/>
    <mergeCell ref="B16:G16"/>
    <mergeCell ref="B20:G20"/>
    <mergeCell ref="B17:G17"/>
    <mergeCell ref="B23:G23"/>
    <mergeCell ref="B19:G19"/>
    <mergeCell ref="B22:G22"/>
    <mergeCell ref="B30:G30"/>
    <mergeCell ref="B24:G24"/>
    <mergeCell ref="B25:G25"/>
    <mergeCell ref="B21:G21"/>
    <mergeCell ref="B27:G27"/>
    <mergeCell ref="B26:G26"/>
    <mergeCell ref="B28:G28"/>
    <mergeCell ref="B29:G29"/>
    <mergeCell ref="B13:G13"/>
    <mergeCell ref="B12:G12"/>
    <mergeCell ref="B14:G14"/>
    <mergeCell ref="A1:H1"/>
    <mergeCell ref="G3:H3"/>
    <mergeCell ref="C7:D7"/>
    <mergeCell ref="C5:D5"/>
    <mergeCell ref="C6:D6"/>
  </mergeCells>
  <phoneticPr fontId="1"/>
  <printOptions horizontalCentered="1" verticalCentered="1"/>
  <pageMargins left="0.59055118110236227" right="0.59055118110236227" top="0.78740157480314965" bottom="0.78740157480314965" header="0.51181102362204722" footer="0.51181102362204722"/>
  <pageSetup paperSize="9" orientation="portrait" blackAndWhite="1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F6B74-B3E3-4B61-B370-CBD35FDAB938}">
  <dimension ref="A1:J41"/>
  <sheetViews>
    <sheetView zoomScale="115" zoomScaleNormal="115" workbookViewId="0">
      <selection activeCell="G9" sqref="G9:G10"/>
    </sheetView>
  </sheetViews>
  <sheetFormatPr defaultRowHeight="13.5" x14ac:dyDescent="0.15"/>
  <cols>
    <col min="1" max="2" width="1.875" style="5" customWidth="1"/>
    <col min="3" max="3" width="11.25" style="5" customWidth="1"/>
    <col min="4" max="4" width="30" style="5" customWidth="1"/>
    <col min="5" max="6" width="1.875" style="5" customWidth="1"/>
    <col min="7" max="7" width="36.25" style="5" customWidth="1"/>
    <col min="8" max="8" width="1.875" style="5" customWidth="1"/>
    <col min="9" max="16384" width="9" style="5"/>
  </cols>
  <sheetData>
    <row r="1" spans="1:10" customFormat="1" ht="30" customHeight="1" thickBot="1" x14ac:dyDescent="0.2">
      <c r="A1" s="77" t="s">
        <v>10</v>
      </c>
      <c r="B1" s="77"/>
      <c r="C1" s="77"/>
      <c r="D1" s="77"/>
      <c r="E1" s="77"/>
      <c r="F1" s="77"/>
      <c r="G1" s="77"/>
      <c r="H1" s="77"/>
      <c r="I1" s="13"/>
      <c r="J1" s="13"/>
    </row>
    <row r="2" spans="1:10" customFormat="1" ht="7.5" customHeight="1" thickTop="1" x14ac:dyDescent="0.15">
      <c r="A2" s="14"/>
      <c r="B2" s="14"/>
      <c r="C2" s="14"/>
      <c r="D2" s="14"/>
      <c r="E2" s="14"/>
      <c r="F2" s="14"/>
      <c r="G2" s="14"/>
      <c r="H2" s="14"/>
      <c r="I2" s="13"/>
      <c r="J2" s="13"/>
    </row>
    <row r="3" spans="1:10" customFormat="1" ht="15" customHeight="1" x14ac:dyDescent="0.15">
      <c r="A3" s="15"/>
      <c r="B3" s="15"/>
      <c r="C3" s="15"/>
      <c r="D3" s="15"/>
      <c r="E3" s="15"/>
      <c r="F3" s="15"/>
      <c r="G3" s="78">
        <f ca="1">TODAY()</f>
        <v>46136</v>
      </c>
      <c r="H3" s="78"/>
      <c r="I3" s="13"/>
      <c r="J3" s="13"/>
    </row>
    <row r="4" spans="1:10" customFormat="1" ht="15" customHeight="1" x14ac:dyDescent="0.15">
      <c r="A4" s="13"/>
      <c r="B4" s="13"/>
      <c r="C4" s="13"/>
      <c r="D4" s="13"/>
      <c r="E4" s="13"/>
      <c r="F4" s="13"/>
      <c r="G4" s="13"/>
      <c r="H4" s="13"/>
      <c r="I4" s="13"/>
      <c r="J4" s="13"/>
    </row>
    <row r="5" spans="1:10" customFormat="1" ht="30" customHeight="1" x14ac:dyDescent="0.2">
      <c r="C5" s="79"/>
      <c r="D5" s="79"/>
      <c r="E5" s="16"/>
      <c r="F5" s="13"/>
      <c r="G5" s="17"/>
      <c r="I5" s="13"/>
      <c r="J5" s="13"/>
    </row>
    <row r="6" spans="1:10" customFormat="1" ht="30" customHeight="1" x14ac:dyDescent="0.2">
      <c r="B6" s="43"/>
      <c r="C6" s="80" t="str">
        <f>IF(入力!B3=0,"",入力!B3&amp;"　")</f>
        <v/>
      </c>
      <c r="D6" s="80"/>
      <c r="E6" s="44"/>
      <c r="F6" s="45"/>
      <c r="G6" s="43"/>
      <c r="I6" s="13"/>
      <c r="J6" s="13"/>
    </row>
    <row r="7" spans="1:10" customFormat="1" ht="22.5" customHeight="1" x14ac:dyDescent="0.2">
      <c r="B7" s="43"/>
      <c r="C7" s="46"/>
      <c r="D7" s="47"/>
      <c r="E7" s="44"/>
      <c r="F7" s="45"/>
      <c r="G7" s="52" t="s">
        <v>49</v>
      </c>
      <c r="I7" s="13"/>
      <c r="J7" s="13"/>
    </row>
    <row r="8" spans="1:10" customFormat="1" ht="15" customHeight="1" x14ac:dyDescent="0.15">
      <c r="B8" s="43"/>
      <c r="C8" s="46"/>
      <c r="D8" s="47"/>
      <c r="E8" s="48"/>
      <c r="F8" s="45"/>
      <c r="G8" s="51" t="s">
        <v>47</v>
      </c>
      <c r="I8" s="13"/>
      <c r="J8" s="13"/>
    </row>
    <row r="9" spans="1:10" customFormat="1" ht="15" customHeight="1" x14ac:dyDescent="0.15">
      <c r="B9" s="43"/>
      <c r="C9" s="46"/>
      <c r="D9" s="47"/>
      <c r="E9" s="43"/>
      <c r="F9" s="45"/>
      <c r="G9" s="49" t="s">
        <v>79</v>
      </c>
      <c r="I9" s="13"/>
    </row>
    <row r="10" spans="1:10" customFormat="1" ht="15" customHeight="1" x14ac:dyDescent="0.15">
      <c r="B10" s="43"/>
      <c r="C10" s="46"/>
      <c r="D10" s="47"/>
      <c r="E10" s="43"/>
      <c r="F10" s="45"/>
      <c r="G10" s="50" t="s">
        <v>80</v>
      </c>
      <c r="I10" s="13"/>
    </row>
    <row r="11" spans="1:10" customFormat="1" ht="15" customHeight="1" x14ac:dyDescent="0.15">
      <c r="B11" s="43"/>
      <c r="C11" s="46"/>
      <c r="D11" s="47"/>
      <c r="E11" s="43"/>
      <c r="F11" s="45"/>
      <c r="G11" s="51"/>
      <c r="I11" s="13"/>
    </row>
    <row r="12" spans="1:10" customFormat="1" ht="15" customHeight="1" x14ac:dyDescent="0.15">
      <c r="A12" s="24"/>
      <c r="B12" s="43"/>
      <c r="C12" s="81" t="s">
        <v>27</v>
      </c>
      <c r="D12" s="81"/>
      <c r="E12" s="81"/>
      <c r="F12" s="81"/>
      <c r="G12" s="81"/>
      <c r="H12" s="24"/>
    </row>
    <row r="13" spans="1:10" customFormat="1" ht="15" customHeight="1" x14ac:dyDescent="0.15">
      <c r="A13" s="24"/>
      <c r="B13" s="43"/>
      <c r="C13" s="81" t="s">
        <v>28</v>
      </c>
      <c r="D13" s="81"/>
      <c r="E13" s="81"/>
      <c r="F13" s="81"/>
      <c r="G13" s="81"/>
      <c r="H13" s="24"/>
    </row>
    <row r="14" spans="1:10" customFormat="1" ht="15" customHeight="1" thickBot="1" x14ac:dyDescent="0.2">
      <c r="A14" s="24"/>
      <c r="B14" s="43"/>
      <c r="C14" s="47"/>
      <c r="D14" s="47"/>
      <c r="E14" s="47"/>
      <c r="F14" s="47"/>
      <c r="G14" s="47"/>
      <c r="H14" s="24"/>
    </row>
    <row r="15" spans="1:10" ht="21" customHeight="1" x14ac:dyDescent="0.15">
      <c r="A15" s="6"/>
      <c r="B15" s="82" t="s">
        <v>16</v>
      </c>
      <c r="C15" s="82"/>
      <c r="D15" s="82"/>
      <c r="E15" s="82"/>
      <c r="F15" s="82"/>
      <c r="G15" s="82"/>
      <c r="H15" s="6"/>
    </row>
    <row r="16" spans="1:10" ht="21" customHeight="1" x14ac:dyDescent="0.15">
      <c r="A16" s="6"/>
      <c r="B16" s="84" t="s">
        <v>31</v>
      </c>
      <c r="C16" s="76"/>
      <c r="D16" s="76"/>
      <c r="E16" s="76"/>
      <c r="F16" s="76"/>
      <c r="G16" s="76"/>
      <c r="H16" s="6"/>
    </row>
    <row r="17" spans="1:8" ht="21" customHeight="1" x14ac:dyDescent="0.15">
      <c r="A17" s="7"/>
      <c r="B17" s="83">
        <f>入力!B12</f>
        <v>0</v>
      </c>
      <c r="C17" s="83"/>
      <c r="D17" s="83"/>
      <c r="E17" s="83"/>
      <c r="F17" s="83"/>
      <c r="G17" s="83"/>
      <c r="H17" s="7"/>
    </row>
    <row r="18" spans="1:8" ht="21" customHeight="1" x14ac:dyDescent="0.15">
      <c r="A18" s="7"/>
      <c r="B18" s="53" t="s">
        <v>76</v>
      </c>
      <c r="C18" s="55"/>
      <c r="D18" s="73" t="s">
        <v>64</v>
      </c>
      <c r="E18" s="73"/>
      <c r="F18" s="73"/>
      <c r="G18" s="73"/>
      <c r="H18" s="7"/>
    </row>
    <row r="19" spans="1:8" ht="21" customHeight="1" x14ac:dyDescent="0.15">
      <c r="A19" s="7"/>
      <c r="B19" s="53" t="s">
        <v>65</v>
      </c>
      <c r="C19" s="54"/>
      <c r="D19" s="54" t="s">
        <v>66</v>
      </c>
      <c r="E19" s="54"/>
      <c r="F19" s="54"/>
      <c r="G19" s="54"/>
      <c r="H19" s="7"/>
    </row>
    <row r="20" spans="1:8" ht="21" customHeight="1" x14ac:dyDescent="0.15">
      <c r="A20" s="7"/>
      <c r="B20" s="53" t="s">
        <v>67</v>
      </c>
      <c r="C20" s="54"/>
      <c r="D20" s="73" t="s">
        <v>68</v>
      </c>
      <c r="E20" s="73"/>
      <c r="F20" s="73"/>
      <c r="G20" s="73"/>
      <c r="H20" s="7"/>
    </row>
    <row r="21" spans="1:8" ht="21" customHeight="1" x14ac:dyDescent="0.15">
      <c r="A21" s="7"/>
      <c r="B21" s="75" t="s">
        <v>53</v>
      </c>
      <c r="C21" s="75"/>
      <c r="D21" s="75"/>
      <c r="E21" s="75"/>
      <c r="F21" s="75"/>
      <c r="G21" s="75"/>
      <c r="H21" s="7"/>
    </row>
    <row r="22" spans="1:8" ht="21" customHeight="1" x14ac:dyDescent="0.15">
      <c r="A22" s="7"/>
      <c r="B22" s="85" t="s">
        <v>54</v>
      </c>
      <c r="C22" s="85"/>
      <c r="D22" s="85"/>
      <c r="E22" s="85"/>
      <c r="F22" s="85"/>
      <c r="G22" s="85"/>
      <c r="H22" s="7"/>
    </row>
    <row r="23" spans="1:8" ht="21" customHeight="1" x14ac:dyDescent="0.15">
      <c r="A23" s="7"/>
      <c r="B23" s="75" t="s">
        <v>69</v>
      </c>
      <c r="C23" s="86"/>
      <c r="D23" s="86"/>
      <c r="E23" s="86"/>
      <c r="F23" s="86"/>
      <c r="G23" s="86"/>
      <c r="H23" s="7"/>
    </row>
    <row r="24" spans="1:8" ht="21" customHeight="1" x14ac:dyDescent="0.15">
      <c r="A24" s="7"/>
      <c r="B24" s="75" t="s">
        <v>56</v>
      </c>
      <c r="C24" s="86"/>
      <c r="D24" s="86"/>
      <c r="E24" s="86"/>
      <c r="F24" s="86"/>
      <c r="G24" s="86"/>
      <c r="H24" s="7"/>
    </row>
    <row r="25" spans="1:8" ht="21" customHeight="1" x14ac:dyDescent="0.15">
      <c r="A25" s="7"/>
      <c r="B25" s="87" t="s">
        <v>55</v>
      </c>
      <c r="C25" s="73"/>
      <c r="D25" s="73"/>
      <c r="E25" s="73"/>
      <c r="F25" s="73"/>
      <c r="G25" s="73"/>
      <c r="H25" s="7"/>
    </row>
    <row r="26" spans="1:8" ht="21" customHeight="1" x14ac:dyDescent="0.15">
      <c r="A26" s="7"/>
      <c r="B26" s="75"/>
      <c r="C26" s="86"/>
      <c r="D26" s="86"/>
      <c r="E26" s="86"/>
      <c r="F26" s="86"/>
      <c r="G26" s="86"/>
      <c r="H26" s="7"/>
    </row>
    <row r="27" spans="1:8" ht="21" customHeight="1" x14ac:dyDescent="0.15">
      <c r="A27" s="7"/>
      <c r="B27" s="70"/>
      <c r="C27" s="73"/>
      <c r="D27" s="73"/>
      <c r="E27" s="73"/>
      <c r="F27" s="73"/>
      <c r="G27" s="73"/>
      <c r="H27" s="7"/>
    </row>
    <row r="28" spans="1:8" ht="21" customHeight="1" x14ac:dyDescent="0.15">
      <c r="A28" s="7"/>
      <c r="B28" s="76" t="s">
        <v>32</v>
      </c>
      <c r="C28" s="76"/>
      <c r="D28" s="76"/>
      <c r="E28" s="76"/>
      <c r="F28" s="76"/>
      <c r="G28" s="76"/>
      <c r="H28" s="7"/>
    </row>
    <row r="29" spans="1:8" ht="21" customHeight="1" x14ac:dyDescent="0.15">
      <c r="A29" s="7"/>
      <c r="B29" s="54" t="s">
        <v>77</v>
      </c>
      <c r="C29" s="54"/>
      <c r="D29" s="54" t="s">
        <v>70</v>
      </c>
      <c r="E29" s="54"/>
      <c r="F29" s="54"/>
      <c r="G29" s="54"/>
      <c r="H29" s="7"/>
    </row>
    <row r="30" spans="1:8" ht="21" customHeight="1" x14ac:dyDescent="0.15">
      <c r="A30" s="7"/>
      <c r="B30" s="54" t="s">
        <v>71</v>
      </c>
      <c r="C30" s="54"/>
      <c r="D30" s="54" t="s">
        <v>72</v>
      </c>
      <c r="E30" s="54"/>
      <c r="F30" s="54"/>
      <c r="G30" s="54"/>
      <c r="H30" s="7"/>
    </row>
    <row r="31" spans="1:8" ht="21" customHeight="1" x14ac:dyDescent="0.15">
      <c r="A31" s="7"/>
      <c r="B31" s="54" t="s">
        <v>73</v>
      </c>
      <c r="C31" s="54"/>
      <c r="D31" s="54" t="s">
        <v>78</v>
      </c>
      <c r="E31" s="54"/>
      <c r="F31" s="54"/>
      <c r="G31" s="54"/>
      <c r="H31" s="7"/>
    </row>
    <row r="32" spans="1:8" ht="21" customHeight="1" x14ac:dyDescent="0.15">
      <c r="A32" s="7"/>
      <c r="B32" s="73" t="s">
        <v>75</v>
      </c>
      <c r="C32" s="73"/>
      <c r="D32" s="73"/>
      <c r="E32" s="73"/>
      <c r="F32" s="73"/>
      <c r="G32" s="73"/>
      <c r="H32" s="7"/>
    </row>
    <row r="33" spans="1:8" ht="21" customHeight="1" x14ac:dyDescent="0.15">
      <c r="A33" s="7"/>
      <c r="B33" s="73" t="s">
        <v>74</v>
      </c>
      <c r="C33" s="73"/>
      <c r="D33" s="73"/>
      <c r="E33" s="73"/>
      <c r="F33" s="73"/>
      <c r="G33" s="73"/>
      <c r="H33" s="7"/>
    </row>
    <row r="34" spans="1:8" ht="21" customHeight="1" x14ac:dyDescent="0.15">
      <c r="A34" s="7"/>
      <c r="B34" s="72" t="s">
        <v>54</v>
      </c>
      <c r="C34" s="72"/>
      <c r="D34" s="72"/>
      <c r="E34" s="72"/>
      <c r="F34" s="72"/>
      <c r="G34" s="72"/>
      <c r="H34" s="7"/>
    </row>
    <row r="35" spans="1:8" ht="21" customHeight="1" x14ac:dyDescent="0.15">
      <c r="A35" s="7"/>
      <c r="B35" s="73"/>
      <c r="C35" s="73"/>
      <c r="D35" s="73"/>
      <c r="E35" s="73"/>
      <c r="F35" s="73"/>
      <c r="G35" s="73"/>
      <c r="H35" s="7"/>
    </row>
    <row r="36" spans="1:8" ht="21" customHeight="1" x14ac:dyDescent="0.15">
      <c r="A36" s="7"/>
      <c r="B36" s="73" t="s">
        <v>29</v>
      </c>
      <c r="C36" s="73"/>
      <c r="D36" s="73"/>
      <c r="E36" s="73"/>
      <c r="F36" s="73"/>
      <c r="G36" s="73"/>
      <c r="H36" s="7"/>
    </row>
    <row r="37" spans="1:8" ht="21" customHeight="1" x14ac:dyDescent="0.15">
      <c r="A37" s="7"/>
      <c r="B37" s="70" t="s">
        <v>30</v>
      </c>
      <c r="C37" s="73"/>
      <c r="D37" s="73"/>
      <c r="E37" s="73"/>
      <c r="F37" s="73"/>
      <c r="G37" s="73"/>
      <c r="H37" s="7"/>
    </row>
    <row r="38" spans="1:8" ht="21" customHeight="1" x14ac:dyDescent="0.15">
      <c r="A38" s="7"/>
      <c r="B38" s="70"/>
      <c r="C38" s="70"/>
      <c r="D38" s="70"/>
      <c r="E38" s="70"/>
      <c r="F38" s="70"/>
      <c r="G38" s="70"/>
      <c r="H38" s="7"/>
    </row>
    <row r="39" spans="1:8" ht="21" customHeight="1" x14ac:dyDescent="0.15">
      <c r="A39" s="39"/>
      <c r="B39" s="74"/>
      <c r="C39" s="74"/>
      <c r="D39" s="74"/>
      <c r="E39" s="74"/>
      <c r="F39" s="74"/>
      <c r="G39" s="74"/>
      <c r="H39" s="39"/>
    </row>
    <row r="40" spans="1:8" ht="21" customHeight="1" thickBot="1" x14ac:dyDescent="0.2">
      <c r="A40" s="37"/>
      <c r="B40" s="71"/>
      <c r="C40" s="71"/>
      <c r="D40" s="71"/>
      <c r="E40" s="71"/>
      <c r="F40" s="71"/>
      <c r="G40" s="71"/>
      <c r="H40" s="37"/>
    </row>
    <row r="41" spans="1:8" ht="14.25" thickTop="1" x14ac:dyDescent="0.15"/>
  </sheetData>
  <mergeCells count="28">
    <mergeCell ref="B32:G32"/>
    <mergeCell ref="B33:G33"/>
    <mergeCell ref="A1:H1"/>
    <mergeCell ref="G3:H3"/>
    <mergeCell ref="C5:D5"/>
    <mergeCell ref="C6:D6"/>
    <mergeCell ref="C12:G12"/>
    <mergeCell ref="C13:G13"/>
    <mergeCell ref="B15:G15"/>
    <mergeCell ref="B17:G17"/>
    <mergeCell ref="B16:G16"/>
    <mergeCell ref="B22:G22"/>
    <mergeCell ref="B23:G23"/>
    <mergeCell ref="B24:G24"/>
    <mergeCell ref="B25:G25"/>
    <mergeCell ref="B26:G26"/>
    <mergeCell ref="D18:G18"/>
    <mergeCell ref="D20:G20"/>
    <mergeCell ref="B21:G21"/>
    <mergeCell ref="B27:G27"/>
    <mergeCell ref="B28:G28"/>
    <mergeCell ref="B38:G38"/>
    <mergeCell ref="B40:G40"/>
    <mergeCell ref="B34:G34"/>
    <mergeCell ref="B36:G36"/>
    <mergeCell ref="B39:G39"/>
    <mergeCell ref="B37:G37"/>
    <mergeCell ref="B35:G35"/>
  </mergeCells>
  <phoneticPr fontId="1"/>
  <printOptions horizontalCentered="1" verticalCentered="1"/>
  <pageMargins left="0.59055118110236227" right="0.59055118110236227" top="0.78740157480314965" bottom="0.78740157480314965" header="0.51181102362204722" footer="0.51181102362204722"/>
  <pageSetup paperSize="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0"/>
  <sheetViews>
    <sheetView zoomScaleNormal="100" workbookViewId="0">
      <selection activeCell="G11" sqref="G11"/>
    </sheetView>
  </sheetViews>
  <sheetFormatPr defaultRowHeight="13.5" x14ac:dyDescent="0.15"/>
  <cols>
    <col min="1" max="2" width="1.875" style="5" customWidth="1"/>
    <col min="3" max="3" width="11.25" style="5" customWidth="1"/>
    <col min="4" max="4" width="30" style="5" customWidth="1"/>
    <col min="5" max="6" width="1.875" style="5" customWidth="1"/>
    <col min="7" max="7" width="36.25" style="5" customWidth="1"/>
    <col min="8" max="8" width="1.875" style="5" customWidth="1"/>
    <col min="9" max="16384" width="9" style="5"/>
  </cols>
  <sheetData>
    <row r="1" spans="1:10" customFormat="1" ht="30" customHeight="1" thickBot="1" x14ac:dyDescent="0.2">
      <c r="A1" s="94" t="s">
        <v>10</v>
      </c>
      <c r="B1" s="94"/>
      <c r="C1" s="94"/>
      <c r="D1" s="94"/>
      <c r="E1" s="94"/>
      <c r="F1" s="94"/>
      <c r="G1" s="94"/>
      <c r="H1" s="94"/>
      <c r="I1" s="13"/>
      <c r="J1" s="13"/>
    </row>
    <row r="2" spans="1:10" customFormat="1" ht="7.5" customHeight="1" thickTop="1" x14ac:dyDescent="0.15">
      <c r="A2" s="14"/>
      <c r="B2" s="14"/>
      <c r="C2" s="14"/>
      <c r="D2" s="14"/>
      <c r="E2" s="14"/>
      <c r="F2" s="14"/>
      <c r="G2" s="14"/>
      <c r="H2" s="14"/>
      <c r="I2" s="13"/>
      <c r="J2" s="13"/>
    </row>
    <row r="3" spans="1:10" customFormat="1" ht="15" customHeight="1" x14ac:dyDescent="0.15">
      <c r="A3" s="15"/>
      <c r="B3" s="15"/>
      <c r="C3" s="15"/>
      <c r="D3" s="15"/>
      <c r="E3" s="15"/>
      <c r="F3" s="15"/>
      <c r="G3" s="95">
        <f ca="1">TODAY()</f>
        <v>46136</v>
      </c>
      <c r="H3" s="95"/>
      <c r="I3" s="13"/>
      <c r="J3" s="13"/>
    </row>
    <row r="4" spans="1:10" customFormat="1" ht="15" customHeight="1" x14ac:dyDescent="0.15">
      <c r="A4" s="13"/>
      <c r="B4" s="13"/>
      <c r="C4" s="13"/>
      <c r="D4" s="13"/>
      <c r="E4" s="13"/>
      <c r="F4" s="13"/>
      <c r="G4" s="13"/>
      <c r="H4" s="13"/>
      <c r="I4" s="13"/>
      <c r="J4" s="13"/>
    </row>
    <row r="5" spans="1:10" customFormat="1" ht="30" customHeight="1" x14ac:dyDescent="0.2">
      <c r="C5" s="79"/>
      <c r="D5" s="79"/>
      <c r="E5" s="16"/>
      <c r="F5" s="13"/>
      <c r="G5" s="17"/>
      <c r="I5" s="13"/>
      <c r="J5" s="13"/>
    </row>
    <row r="6" spans="1:10" customFormat="1" ht="30" customHeight="1" x14ac:dyDescent="0.2">
      <c r="C6" s="96" t="str">
        <f>IF(入力!B3=0,"",入力!B3&amp;"　")</f>
        <v/>
      </c>
      <c r="D6" s="96"/>
      <c r="E6" s="16"/>
      <c r="F6" s="13"/>
      <c r="I6" s="13"/>
      <c r="J6" s="13"/>
    </row>
    <row r="7" spans="1:10" customFormat="1" ht="22.5" customHeight="1" x14ac:dyDescent="0.2">
      <c r="C7" s="18"/>
      <c r="D7" s="22"/>
      <c r="E7" s="16"/>
      <c r="F7" s="13"/>
      <c r="G7" s="42" t="s">
        <v>49</v>
      </c>
      <c r="I7" s="13"/>
      <c r="J7" s="13"/>
    </row>
    <row r="8" spans="1:10" customFormat="1" ht="15" customHeight="1" x14ac:dyDescent="0.15">
      <c r="C8" s="18"/>
      <c r="D8" s="22"/>
      <c r="E8" s="20"/>
      <c r="F8" s="13"/>
      <c r="G8" s="21" t="s">
        <v>47</v>
      </c>
      <c r="I8" s="13"/>
      <c r="J8" s="13"/>
    </row>
    <row r="9" spans="1:10" customFormat="1" ht="15" customHeight="1" x14ac:dyDescent="0.15">
      <c r="C9" s="18"/>
      <c r="D9" s="22"/>
      <c r="F9" s="13"/>
      <c r="G9" s="40" t="s">
        <v>79</v>
      </c>
      <c r="I9" s="13"/>
    </row>
    <row r="10" spans="1:10" customFormat="1" ht="15" customHeight="1" x14ac:dyDescent="0.15">
      <c r="C10" s="18"/>
      <c r="D10" s="22"/>
      <c r="F10" s="13"/>
      <c r="G10" s="38" t="s">
        <v>80</v>
      </c>
      <c r="I10" s="13"/>
    </row>
    <row r="11" spans="1:10" customFormat="1" ht="15" customHeight="1" x14ac:dyDescent="0.15">
      <c r="C11" s="18"/>
      <c r="D11" s="22"/>
      <c r="F11" s="13"/>
      <c r="G11" s="38"/>
      <c r="I11" s="13"/>
    </row>
    <row r="12" spans="1:10" customFormat="1" ht="15" customHeight="1" x14ac:dyDescent="0.15">
      <c r="A12" s="24"/>
      <c r="C12" s="99" t="s">
        <v>27</v>
      </c>
      <c r="D12" s="99"/>
      <c r="E12" s="99"/>
      <c r="F12" s="99"/>
      <c r="G12" s="99"/>
      <c r="H12" s="24"/>
    </row>
    <row r="13" spans="1:10" customFormat="1" ht="15" customHeight="1" x14ac:dyDescent="0.15">
      <c r="A13" s="24"/>
      <c r="C13" s="99" t="s">
        <v>28</v>
      </c>
      <c r="D13" s="99"/>
      <c r="E13" s="99"/>
      <c r="F13" s="99"/>
      <c r="G13" s="99"/>
      <c r="H13" s="24"/>
    </row>
    <row r="14" spans="1:10" customFormat="1" ht="15" customHeight="1" thickBot="1" x14ac:dyDescent="0.2">
      <c r="A14" s="24"/>
      <c r="C14" s="21"/>
      <c r="D14" s="22"/>
      <c r="E14" s="22"/>
      <c r="F14" s="22"/>
      <c r="G14" s="22"/>
      <c r="H14" s="24"/>
    </row>
    <row r="15" spans="1:10" ht="21" customHeight="1" x14ac:dyDescent="0.15">
      <c r="A15" s="6"/>
      <c r="B15" s="100" t="s">
        <v>16</v>
      </c>
      <c r="C15" s="100"/>
      <c r="D15" s="100"/>
      <c r="E15" s="100"/>
      <c r="F15" s="100"/>
      <c r="G15" s="100"/>
      <c r="H15" s="6"/>
    </row>
    <row r="16" spans="1:10" ht="21" customHeight="1" x14ac:dyDescent="0.15">
      <c r="A16" s="6"/>
      <c r="B16" s="97" t="s">
        <v>31</v>
      </c>
      <c r="C16" s="98"/>
      <c r="D16" s="98"/>
      <c r="E16" s="98"/>
      <c r="F16" s="98"/>
      <c r="G16" s="98"/>
      <c r="H16" s="6"/>
    </row>
    <row r="17" spans="1:8" ht="21" customHeight="1" x14ac:dyDescent="0.15">
      <c r="A17" s="7"/>
      <c r="B17" s="101">
        <f>入力!B12</f>
        <v>0</v>
      </c>
      <c r="C17" s="101"/>
      <c r="D17" s="101"/>
      <c r="E17" s="101"/>
      <c r="F17" s="101"/>
      <c r="G17" s="101"/>
      <c r="H17" s="7"/>
    </row>
    <row r="18" spans="1:8" ht="21" customHeight="1" x14ac:dyDescent="0.15">
      <c r="A18" s="7"/>
      <c r="B18" s="97" t="s">
        <v>61</v>
      </c>
      <c r="C18" s="102"/>
      <c r="D18" s="102"/>
      <c r="E18" s="102"/>
      <c r="F18" s="102"/>
      <c r="G18" s="102"/>
      <c r="H18" s="7"/>
    </row>
    <row r="19" spans="1:8" ht="21" customHeight="1" x14ac:dyDescent="0.15">
      <c r="A19" s="7"/>
      <c r="B19" s="92" t="s">
        <v>24</v>
      </c>
      <c r="C19" s="93"/>
      <c r="D19" s="93"/>
      <c r="E19" s="93"/>
      <c r="F19" s="93"/>
      <c r="G19" s="93"/>
      <c r="H19" s="7"/>
    </row>
    <row r="20" spans="1:8" ht="21" customHeight="1" x14ac:dyDescent="0.15">
      <c r="A20" s="7"/>
      <c r="B20" s="92" t="s">
        <v>23</v>
      </c>
      <c r="C20" s="93"/>
      <c r="D20" s="93"/>
      <c r="E20" s="93"/>
      <c r="F20" s="93"/>
      <c r="G20" s="93"/>
      <c r="H20" s="7"/>
    </row>
    <row r="21" spans="1:8" ht="21" customHeight="1" x14ac:dyDescent="0.15">
      <c r="A21" s="7"/>
      <c r="B21" s="89" t="s">
        <v>62</v>
      </c>
      <c r="C21" s="89"/>
      <c r="D21" s="89"/>
      <c r="E21" s="89"/>
      <c r="F21" s="89"/>
      <c r="G21" s="89"/>
      <c r="H21" s="7"/>
    </row>
    <row r="22" spans="1:8" ht="21" customHeight="1" x14ac:dyDescent="0.15">
      <c r="A22" s="7"/>
      <c r="B22" s="89" t="s">
        <v>46</v>
      </c>
      <c r="C22" s="89"/>
      <c r="D22" s="89"/>
      <c r="E22" s="89"/>
      <c r="F22" s="89"/>
      <c r="G22" s="89"/>
      <c r="H22" s="7"/>
    </row>
    <row r="23" spans="1:8" ht="21" customHeight="1" x14ac:dyDescent="0.15">
      <c r="A23" s="7"/>
      <c r="B23" s="89" t="s">
        <v>35</v>
      </c>
      <c r="C23" s="89"/>
      <c r="D23" s="89"/>
      <c r="E23" s="89"/>
      <c r="F23" s="89"/>
      <c r="G23" s="89"/>
      <c r="H23" s="7"/>
    </row>
    <row r="24" spans="1:8" ht="21" customHeight="1" x14ac:dyDescent="0.15">
      <c r="A24" s="7"/>
      <c r="B24" s="74"/>
      <c r="C24" s="89"/>
      <c r="D24" s="89"/>
      <c r="E24" s="89"/>
      <c r="F24" s="89"/>
      <c r="G24" s="89"/>
      <c r="H24" s="7"/>
    </row>
    <row r="25" spans="1:8" ht="21" customHeight="1" x14ac:dyDescent="0.15">
      <c r="A25" s="7"/>
      <c r="B25" s="92"/>
      <c r="C25" s="93"/>
      <c r="D25" s="93"/>
      <c r="E25" s="93"/>
      <c r="F25" s="93"/>
      <c r="G25" s="93"/>
      <c r="H25" s="7"/>
    </row>
    <row r="26" spans="1:8" ht="21" customHeight="1" x14ac:dyDescent="0.15">
      <c r="A26" s="7"/>
      <c r="B26" s="98" t="s">
        <v>33</v>
      </c>
      <c r="C26" s="103"/>
      <c r="D26" s="103"/>
      <c r="E26" s="103"/>
      <c r="F26" s="103"/>
      <c r="G26" s="103"/>
      <c r="H26" s="7"/>
    </row>
    <row r="27" spans="1:8" ht="21" customHeight="1" x14ac:dyDescent="0.15">
      <c r="A27" s="7"/>
      <c r="B27" s="92" t="s">
        <v>25</v>
      </c>
      <c r="C27" s="93"/>
      <c r="D27" s="93"/>
      <c r="E27" s="93"/>
      <c r="F27" s="93"/>
      <c r="G27" s="93"/>
      <c r="H27" s="7"/>
    </row>
    <row r="28" spans="1:8" ht="21" customHeight="1" x14ac:dyDescent="0.15">
      <c r="A28" s="7"/>
      <c r="B28" s="92" t="s">
        <v>18</v>
      </c>
      <c r="C28" s="93"/>
      <c r="D28" s="93"/>
      <c r="E28" s="93"/>
      <c r="F28" s="93"/>
      <c r="G28" s="93"/>
      <c r="H28" s="7"/>
    </row>
    <row r="29" spans="1:8" ht="21" customHeight="1" x14ac:dyDescent="0.15">
      <c r="A29" s="7"/>
      <c r="B29" s="92" t="s">
        <v>44</v>
      </c>
      <c r="C29" s="93"/>
      <c r="D29" s="93"/>
      <c r="E29" s="93"/>
      <c r="F29" s="93"/>
      <c r="G29" s="93"/>
      <c r="H29" s="7"/>
    </row>
    <row r="30" spans="1:8" ht="21" customHeight="1" x14ac:dyDescent="0.15">
      <c r="A30" s="7"/>
      <c r="B30" s="92" t="s">
        <v>17</v>
      </c>
      <c r="C30" s="93"/>
      <c r="D30" s="93"/>
      <c r="E30" s="93"/>
      <c r="F30" s="93"/>
      <c r="G30" s="93"/>
      <c r="H30" s="7"/>
    </row>
    <row r="31" spans="1:8" ht="21" customHeight="1" x14ac:dyDescent="0.15">
      <c r="A31" s="7"/>
      <c r="B31" s="92"/>
      <c r="C31" s="92"/>
      <c r="D31" s="92"/>
      <c r="E31" s="92"/>
      <c r="F31" s="92"/>
      <c r="G31" s="92"/>
      <c r="H31" s="7"/>
    </row>
    <row r="32" spans="1:8" ht="21" customHeight="1" x14ac:dyDescent="0.15">
      <c r="A32" s="7"/>
      <c r="B32" s="74" t="s">
        <v>63</v>
      </c>
      <c r="C32" s="89"/>
      <c r="D32" s="89"/>
      <c r="E32" s="89"/>
      <c r="F32" s="89"/>
      <c r="G32" s="89"/>
      <c r="H32" s="7"/>
    </row>
    <row r="33" spans="1:8" ht="21" customHeight="1" x14ac:dyDescent="0.15">
      <c r="A33" s="7"/>
      <c r="B33" s="74"/>
      <c r="C33" s="89"/>
      <c r="D33" s="89"/>
      <c r="E33" s="89"/>
      <c r="F33" s="89"/>
      <c r="G33" s="89"/>
      <c r="H33" s="7"/>
    </row>
    <row r="34" spans="1:8" ht="21" customHeight="1" x14ac:dyDescent="0.15">
      <c r="A34" s="7"/>
      <c r="B34" s="88" t="s">
        <v>34</v>
      </c>
      <c r="C34" s="88"/>
      <c r="D34" s="88"/>
      <c r="E34" s="88"/>
      <c r="F34" s="88"/>
      <c r="G34" s="88"/>
      <c r="H34" s="7"/>
    </row>
    <row r="35" spans="1:8" ht="21" customHeight="1" x14ac:dyDescent="0.15">
      <c r="A35" s="7"/>
      <c r="B35" s="89" t="s">
        <v>19</v>
      </c>
      <c r="C35" s="89"/>
      <c r="D35" s="89"/>
      <c r="E35" s="89"/>
      <c r="F35" s="89"/>
      <c r="G35" s="89"/>
      <c r="H35" s="7"/>
    </row>
    <row r="36" spans="1:8" ht="21" customHeight="1" x14ac:dyDescent="0.15">
      <c r="A36" s="7"/>
      <c r="B36" s="89" t="s">
        <v>20</v>
      </c>
      <c r="C36" s="89"/>
      <c r="D36" s="89"/>
      <c r="E36" s="89"/>
      <c r="F36" s="89"/>
      <c r="G36" s="89"/>
      <c r="H36" s="7"/>
    </row>
    <row r="37" spans="1:8" ht="21" customHeight="1" x14ac:dyDescent="0.15">
      <c r="A37" s="7"/>
      <c r="B37" s="90" t="s">
        <v>21</v>
      </c>
      <c r="C37" s="91"/>
      <c r="D37" s="91"/>
      <c r="E37" s="91"/>
      <c r="F37" s="91"/>
      <c r="G37" s="91"/>
      <c r="H37" s="7"/>
    </row>
    <row r="38" spans="1:8" ht="21" customHeight="1" x14ac:dyDescent="0.15">
      <c r="A38" s="7"/>
      <c r="B38" s="74" t="s">
        <v>22</v>
      </c>
      <c r="C38" s="74"/>
      <c r="D38" s="74"/>
      <c r="E38" s="74"/>
      <c r="F38" s="74"/>
      <c r="G38" s="74"/>
      <c r="H38" s="7"/>
    </row>
    <row r="39" spans="1:8" ht="21" customHeight="1" thickBot="1" x14ac:dyDescent="0.2">
      <c r="A39" s="37"/>
      <c r="B39" s="71"/>
      <c r="C39" s="71"/>
      <c r="D39" s="71"/>
      <c r="E39" s="71"/>
      <c r="F39" s="71"/>
      <c r="G39" s="71"/>
      <c r="H39" s="37"/>
    </row>
    <row r="40" spans="1:8" ht="14.25" thickTop="1" x14ac:dyDescent="0.15"/>
  </sheetData>
  <mergeCells count="31">
    <mergeCell ref="B21:G21"/>
    <mergeCell ref="B22:G22"/>
    <mergeCell ref="B32:G32"/>
    <mergeCell ref="B33:G33"/>
    <mergeCell ref="B23:G23"/>
    <mergeCell ref="B24:G24"/>
    <mergeCell ref="B31:G31"/>
    <mergeCell ref="B25:G25"/>
    <mergeCell ref="B28:G28"/>
    <mergeCell ref="B26:G26"/>
    <mergeCell ref="B27:G27"/>
    <mergeCell ref="B29:G29"/>
    <mergeCell ref="B30:G30"/>
    <mergeCell ref="B20:G20"/>
    <mergeCell ref="A1:H1"/>
    <mergeCell ref="G3:H3"/>
    <mergeCell ref="C5:D5"/>
    <mergeCell ref="C6:D6"/>
    <mergeCell ref="B16:G16"/>
    <mergeCell ref="C12:G12"/>
    <mergeCell ref="C13:G13"/>
    <mergeCell ref="B15:G15"/>
    <mergeCell ref="B17:G17"/>
    <mergeCell ref="B18:G18"/>
    <mergeCell ref="B19:G19"/>
    <mergeCell ref="B39:G39"/>
    <mergeCell ref="B34:G34"/>
    <mergeCell ref="B35:G35"/>
    <mergeCell ref="B36:G36"/>
    <mergeCell ref="B37:G37"/>
    <mergeCell ref="B38:G38"/>
  </mergeCells>
  <phoneticPr fontId="1"/>
  <printOptions horizontalCentered="1" verticalCentered="1"/>
  <pageMargins left="0.59055118110236227" right="0.59055118110236227" top="0.78740157480314965" bottom="0.78740157480314965" header="0.51181102362204722" footer="0.51181102362204722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</vt:i4>
      </vt:variant>
    </vt:vector>
  </HeadingPairs>
  <TitlesOfParts>
    <vt:vector size="8" baseType="lpstr">
      <vt:lpstr>入力</vt:lpstr>
      <vt:lpstr>FAX送信状</vt:lpstr>
      <vt:lpstr>書類送付状（委任状）</vt:lpstr>
      <vt:lpstr>栄土地 + 松本司法書士</vt:lpstr>
      <vt:lpstr>入力!_FilterDatabase</vt:lpstr>
      <vt:lpstr>FAX送信状!Print_Area</vt:lpstr>
      <vt:lpstr>'栄土地 + 松本司法書士'!Print_Area</vt:lpstr>
      <vt:lpstr>'書類送付状（委任状）'!Print_Area</vt:lpstr>
    </vt:vector>
  </TitlesOfParts>
  <Company>株式会社拓工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C-20</dc:creator>
  <cp:lastModifiedBy>華苗 平澤</cp:lastModifiedBy>
  <cp:lastPrinted>2026-03-17T04:04:01Z</cp:lastPrinted>
  <dcterms:created xsi:type="dcterms:W3CDTF">1999-02-16T04:33:19Z</dcterms:created>
  <dcterms:modified xsi:type="dcterms:W3CDTF">2026-04-24T09:02:03Z</dcterms:modified>
</cp:coreProperties>
</file>